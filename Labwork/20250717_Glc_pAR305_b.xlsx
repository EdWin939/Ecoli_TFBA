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mrug/Documents/Honours research/Labwork/"/>
    </mc:Choice>
  </mc:AlternateContent>
  <xr:revisionPtr revIDLastSave="0" documentId="13_ncr:1_{BA3A1180-7618-F140-9A2E-84BFB1E7447C}" xr6:coauthVersionLast="47" xr6:coauthVersionMax="47" xr10:uidLastSave="{00000000-0000-0000-0000-000000000000}"/>
  <bookViews>
    <workbookView minimized="1" xWindow="0" yWindow="760" windowWidth="29400" windowHeight="1712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0" i="1" l="1"/>
  <c r="K67" i="1"/>
  <c r="Q62" i="1"/>
  <c r="Q61" i="1"/>
  <c r="K60" i="1"/>
  <c r="O67" i="1"/>
  <c r="O68" i="1"/>
  <c r="N67" i="1"/>
  <c r="N68" i="1"/>
  <c r="K68" i="1"/>
  <c r="L68" i="1"/>
  <c r="M68" i="1"/>
  <c r="L67" i="1"/>
  <c r="M67" i="1"/>
  <c r="O60" i="1"/>
  <c r="O61" i="1"/>
  <c r="O62" i="1"/>
  <c r="N61" i="1"/>
  <c r="K61" i="1"/>
  <c r="L61" i="1"/>
  <c r="M61" i="1"/>
  <c r="K62" i="1"/>
  <c r="L62" i="1"/>
  <c r="M62" i="1"/>
  <c r="L60" i="1"/>
  <c r="M60" i="1"/>
  <c r="N62" i="1"/>
  <c r="O55" i="1"/>
  <c r="O56" i="1"/>
  <c r="O54" i="1"/>
  <c r="N55" i="1"/>
  <c r="N56" i="1"/>
  <c r="N54" i="1"/>
  <c r="K55" i="1"/>
  <c r="L55" i="1"/>
  <c r="M55" i="1"/>
  <c r="K56" i="1"/>
  <c r="L56" i="1"/>
  <c r="M56" i="1"/>
  <c r="L54" i="1"/>
  <c r="M54" i="1"/>
  <c r="K54" i="1"/>
</calcChain>
</file>

<file path=xl/sharedStrings.xml><?xml version="1.0" encoding="utf-8"?>
<sst xmlns="http://schemas.openxmlformats.org/spreadsheetml/2006/main" count="339" uniqueCount="98">
  <si>
    <t>Method name: Method_20250521_only_gluc (Modified)</t>
  </si>
  <si>
    <t/>
  </si>
  <si>
    <t>Application: SparkControl</t>
  </si>
  <si>
    <t>V2.3</t>
  </si>
  <si>
    <t>Device: Spark 10M</t>
  </si>
  <si>
    <t>Serial number: 1507005044</t>
  </si>
  <si>
    <t>Firmware:</t>
  </si>
  <si>
    <t>ABS:V4.2.10|ABS_MEX:V5.0.4|MTP:V11.0.2|FLUOR:V5.0.8|FLUOR_MEM:V5.0.4|FLUOR_MEX:V5.0.4|INJ:V3.0.10</t>
  </si>
  <si>
    <t>Date:</t>
  </si>
  <si>
    <t>2025-07-17</t>
  </si>
  <si>
    <t>Time:</t>
  </si>
  <si>
    <t>10:34</t>
  </si>
  <si>
    <t>System</t>
  </si>
  <si>
    <t>WKS027449</t>
  </si>
  <si>
    <t>User</t>
  </si>
  <si>
    <t>WORKSPACE\F111726</t>
  </si>
  <si>
    <t>Plate</t>
  </si>
  <si>
    <t>[GRE96fb_µClear] - Greiner 96 Flat Black Cat. No.: 655090/655096/655097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</si>
  <si>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</si>
  <si>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</si>
  <si>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</si>
  <si>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</si>
  <si>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</si>
  <si>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</si>
  <si>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</si>
  <si>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</si>
  <si>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mCerulean</t>
  </si>
  <si>
    <t>mVenus-Q69M</t>
  </si>
  <si>
    <t>Name</t>
  </si>
  <si>
    <t>GRE96fb_µClear</t>
  </si>
  <si>
    <t>Plate layout</t>
  </si>
  <si>
    <t>Plate area</t>
  </si>
  <si>
    <t>A10-D12</t>
  </si>
  <si>
    <t>Mode</t>
  </si>
  <si>
    <t>Excitation</t>
  </si>
  <si>
    <t>Monochromator</t>
  </si>
  <si>
    <t>Excitation wavelength</t>
  </si>
  <si>
    <t>nm</t>
  </si>
  <si>
    <t>Excitation bandwidth</t>
  </si>
  <si>
    <t>Emission</t>
  </si>
  <si>
    <t>Emission wavelength</t>
  </si>
  <si>
    <t>Emission bandwidth</t>
  </si>
  <si>
    <t>Gain</t>
  </si>
  <si>
    <t>Optimal</t>
  </si>
  <si>
    <t>Mirror</t>
  </si>
  <si>
    <t>AUTOMATIC</t>
  </si>
  <si>
    <t>Number of flashes</t>
  </si>
  <si>
    <t>Integration time</t>
  </si>
  <si>
    <t>µs</t>
  </si>
  <si>
    <t>Lag time</t>
  </si>
  <si>
    <t>Settle time</t>
  </si>
  <si>
    <t>ms</t>
  </si>
  <si>
    <t>Z-Position</t>
  </si>
  <si>
    <t>µm</t>
  </si>
  <si>
    <t>Z-Position mode</t>
  </si>
  <si>
    <t>Manual</t>
  </si>
  <si>
    <t>Part of Plate</t>
  </si>
  <si>
    <t>Start Time</t>
  </si>
  <si>
    <t>2025-07-17 10:34:01</t>
  </si>
  <si>
    <t>Temperature</t>
  </si>
  <si>
    <t>°C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</si>
  <si>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</si>
  <si>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</si>
  <si>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</si>
  <si>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</si>
  <si>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</si>
  <si>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</si>
  <si>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</si>
  <si>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</si>
  <si>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</si>
  <si>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</si>
  <si>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</si>
  <si>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</si>
  <si>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</si>
  <si>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</si>
  <si>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</si>
  <si>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</si>
  <si>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</si>
  <si>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</si>
  <si>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</si>
  <si>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</si>
  <si>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</si>
  <si>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</si>
  <si>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2025-07-17 10:34:15</t>
  </si>
  <si>
    <t>2025-07-17 10:34:34</t>
  </si>
  <si>
    <t>2025-07-17 10:34:48</t>
  </si>
  <si>
    <t>ctrl</t>
  </si>
  <si>
    <t>wt</t>
  </si>
  <si>
    <t>KO</t>
  </si>
  <si>
    <t>blank</t>
  </si>
  <si>
    <t>yellow</t>
  </si>
  <si>
    <t>cyan</t>
  </si>
  <si>
    <t>sd</t>
  </si>
  <si>
    <t>mean</t>
  </si>
  <si>
    <t>SUBTRACT BLANK</t>
  </si>
  <si>
    <t>NO SUBTRACT</t>
  </si>
  <si>
    <t>SUBTRACT CONTROL</t>
  </si>
  <si>
    <t>Y/C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</si>
</sst>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4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00FFEA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1" fillId="4" borderId="0" xfId="0" applyFont="1" applyFill="1"/>
    <xf numFmtId="0" fontId="1" fillId="5" borderId="0" xfId="0" applyFont="1" applyFill="1"/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3" fillId="0" borderId="0" xfId="0" applyFont="1"/>
    <xf numFmtId="0" fontId="3" fillId="0" borderId="5" xfId="0" applyFont="1" applyBorder="1"/>
    <xf numFmtId="2" fontId="0" fillId="0" borderId="0" xfId="0" applyNumberFormat="1"/>
    <xf numFmtId="2" fontId="0" fillId="0" borderId="5" xfId="0" applyNumberFormat="1" applyBorder="1"/>
    <xf numFmtId="164" fontId="0" fillId="0" borderId="0" xfId="0" applyNumberFormat="1"/>
    <xf numFmtId="164" fontId="0" fillId="0" borderId="5" xfId="0" applyNumberFormat="1" applyBorder="1"/>
    <xf numFmtId="0" fontId="1" fillId="0" borderId="6" xfId="0" applyFont="1" applyBorder="1"/>
    <xf numFmtId="0" fontId="1" fillId="0" borderId="7" xfId="0" applyFont="1" applyBorder="1"/>
    <xf numFmtId="2" fontId="0" fillId="0" borderId="7" xfId="0" applyNumberFormat="1" applyBorder="1"/>
    <xf numFmtId="2" fontId="0" fillId="0" borderId="8" xfId="0" applyNumberFormat="1" applyBorder="1"/>
    <xf numFmtId="0" fontId="1" fillId="0" borderId="3" xfId="0" applyFont="1" applyBorder="1"/>
    <xf numFmtId="0" fontId="1" fillId="0" borderId="5" xfId="0" applyFont="1" applyBorder="1"/>
    <xf numFmtId="0" fontId="0" fillId="0" borderId="5" xfId="0" applyBorder="1"/>
    <xf numFmtId="0" fontId="1" fillId="0" borderId="8" xfId="0" applyFont="1" applyBorder="1"/>
    <xf numFmtId="2" fontId="0" fillId="0" borderId="2" xfId="0" applyNumberFormat="1" applyBorder="1"/>
    <xf numFmtId="2" fontId="0" fillId="0" borderId="3" xfId="0" applyNumberFormat="1" applyBorder="1"/>
    <xf numFmtId="165" fontId="0" fillId="0" borderId="2" xfId="0" applyNumberFormat="1" applyBorder="1"/>
    <xf numFmtId="165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2"/>
  <sheetViews>
    <sheetView tabSelected="1" topLeftCell="A43" workbookViewId="0">
      <selection activeCell="P69" sqref="P69"/>
    </sheetView>
  </sheetViews>
  <sheetFormatPr baseColWidth="10" defaultColWidth="8.83203125" defaultRowHeight="15" x14ac:dyDescent="0.2"/>
  <cols>
    <col min="10" max="10" width="16.5" bestFit="1" customWidth="1"/>
    <col min="14" max="15" width="9.66406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 t="s">
        <v>91</v>
      </c>
      <c r="J17" s="2"/>
      <c r="K17" s="2"/>
    </row>
    <row r="18" spans="1:11" x14ac:dyDescent="0.2">
      <c r="A18" s="2"/>
      <c r="B18" s="2" t="s">
        <v>25</v>
      </c>
      <c r="C18" s="2"/>
      <c r="D18" s="2"/>
      <c r="E18" s="2"/>
      <c r="F18" s="2"/>
      <c r="G18" s="2" t="s">
        <v>27</v>
      </c>
      <c r="H18" s="2"/>
      <c r="I18" s="2" t="s">
        <v>90</v>
      </c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28</v>
      </c>
      <c r="B25" s="1" t="s">
        <v>26</v>
      </c>
      <c r="C25" s="5"/>
      <c r="D25" s="1"/>
      <c r="E25" s="1"/>
      <c r="F25" s="1"/>
      <c r="G25" s="1"/>
      <c r="H25" s="1"/>
      <c r="I25" s="1"/>
      <c r="J25" s="1"/>
      <c r="K25" s="1"/>
    </row>
    <row r="26" spans="1:11" x14ac:dyDescent="0.2">
      <c r="A26" s="1" t="s">
        <v>34</v>
      </c>
      <c r="B26" s="1"/>
      <c r="C26" s="1"/>
      <c r="D26" s="1"/>
      <c r="E26" s="1" t="s">
        <v>35</v>
      </c>
      <c r="F26" s="1"/>
      <c r="G26" s="1"/>
      <c r="H26" s="1"/>
      <c r="I26" s="1"/>
      <c r="J26" s="1"/>
      <c r="K26" s="1"/>
    </row>
    <row r="27" spans="1:11" x14ac:dyDescent="0.2">
      <c r="A27" s="1" t="s">
        <v>36</v>
      </c>
      <c r="B27" s="1"/>
      <c r="C27" s="1"/>
      <c r="D27" s="1"/>
      <c r="E27" s="1">
        <v>440</v>
      </c>
      <c r="F27" s="1" t="s">
        <v>37</v>
      </c>
      <c r="G27" s="1"/>
      <c r="H27" s="1"/>
      <c r="I27" s="1"/>
      <c r="J27" s="1"/>
      <c r="K27" s="1"/>
    </row>
    <row r="28" spans="1:11" x14ac:dyDescent="0.2">
      <c r="A28" s="1" t="s">
        <v>38</v>
      </c>
      <c r="B28" s="1"/>
      <c r="C28" s="1"/>
      <c r="D28" s="1"/>
      <c r="E28" s="1">
        <v>20</v>
      </c>
      <c r="F28" s="1" t="s">
        <v>37</v>
      </c>
      <c r="G28" s="1"/>
      <c r="H28" s="1"/>
      <c r="I28" s="1"/>
      <c r="J28" s="1"/>
      <c r="K28" s="1"/>
    </row>
    <row r="29" spans="1:11" x14ac:dyDescent="0.2">
      <c r="A29" s="1" t="s">
        <v>39</v>
      </c>
      <c r="B29" s="1"/>
      <c r="C29" s="1"/>
      <c r="D29" s="1"/>
      <c r="E29" s="1" t="s">
        <v>35</v>
      </c>
      <c r="F29" s="1"/>
      <c r="G29" s="1"/>
      <c r="H29" s="1"/>
      <c r="I29" s="1"/>
      <c r="J29" s="1"/>
      <c r="K29" s="1"/>
    </row>
    <row r="30" spans="1:11" x14ac:dyDescent="0.2">
      <c r="A30" s="1" t="s">
        <v>40</v>
      </c>
      <c r="B30" s="1"/>
      <c r="C30" s="1"/>
      <c r="D30" s="1"/>
      <c r="E30" s="1">
        <v>479</v>
      </c>
      <c r="F30" s="1" t="s">
        <v>37</v>
      </c>
      <c r="G30" s="1"/>
      <c r="H30" s="1"/>
      <c r="I30" s="1"/>
      <c r="J30" s="1"/>
      <c r="K30" s="1"/>
    </row>
    <row r="31" spans="1:11" x14ac:dyDescent="0.2">
      <c r="A31" s="1" t="s">
        <v>41</v>
      </c>
      <c r="B31" s="1"/>
      <c r="C31" s="1"/>
      <c r="D31" s="1"/>
      <c r="E31" s="1">
        <v>20</v>
      </c>
      <c r="F31" s="1" t="s">
        <v>37</v>
      </c>
      <c r="G31" s="1"/>
      <c r="H31" s="1"/>
      <c r="I31" s="1"/>
      <c r="J31" s="1"/>
      <c r="K31" s="1"/>
    </row>
    <row r="32" spans="1:11" x14ac:dyDescent="0.2">
      <c r="A32" s="1" t="s">
        <v>42</v>
      </c>
      <c r="B32" s="1"/>
      <c r="C32" s="1"/>
      <c r="D32" s="1"/>
      <c r="E32" s="1">
        <v>133</v>
      </c>
      <c r="F32" s="1" t="s">
        <v>43</v>
      </c>
      <c r="G32" s="1"/>
      <c r="H32" s="1"/>
      <c r="I32" s="1"/>
      <c r="J32" s="1"/>
      <c r="K32" s="1"/>
    </row>
    <row r="33" spans="1:13" x14ac:dyDescent="0.2">
      <c r="A33" s="1" t="s">
        <v>44</v>
      </c>
      <c r="B33" s="1"/>
      <c r="C33" s="1"/>
      <c r="D33" s="1"/>
      <c r="E33" s="1" t="s">
        <v>45</v>
      </c>
      <c r="F33" s="1"/>
      <c r="G33" s="1"/>
      <c r="H33" s="1"/>
      <c r="I33" s="1"/>
      <c r="J33" s="1"/>
      <c r="K33" s="1"/>
    </row>
    <row r="34" spans="1:13" x14ac:dyDescent="0.2">
      <c r="A34" s="1" t="s">
        <v>46</v>
      </c>
      <c r="B34" s="1"/>
      <c r="C34" s="1"/>
      <c r="D34" s="1"/>
      <c r="E34" s="1">
        <v>30</v>
      </c>
      <c r="F34" s="1"/>
      <c r="G34" s="1"/>
      <c r="H34" s="1"/>
      <c r="I34" s="1"/>
      <c r="J34" s="1"/>
      <c r="K34" s="1"/>
    </row>
    <row r="35" spans="1:13" x14ac:dyDescent="0.2">
      <c r="A35" s="1" t="s">
        <v>47</v>
      </c>
      <c r="B35" s="1"/>
      <c r="C35" s="1"/>
      <c r="D35" s="1"/>
      <c r="E35" s="1">
        <v>40</v>
      </c>
      <c r="F35" s="1" t="s">
        <v>48</v>
      </c>
      <c r="G35" s="1"/>
      <c r="H35" s="1"/>
      <c r="I35" s="1"/>
      <c r="J35" s="1"/>
      <c r="K35" s="1"/>
    </row>
    <row r="36" spans="1:13" x14ac:dyDescent="0.2">
      <c r="A36" s="1" t="s">
        <v>49</v>
      </c>
      <c r="B36" s="1"/>
      <c r="C36" s="1"/>
      <c r="D36" s="1"/>
      <c r="E36" s="1">
        <v>0</v>
      </c>
      <c r="F36" s="1" t="s">
        <v>48</v>
      </c>
      <c r="G36" s="1"/>
      <c r="H36" s="1"/>
      <c r="I36" s="1"/>
      <c r="J36" s="1"/>
      <c r="K36" s="1"/>
    </row>
    <row r="37" spans="1:13" x14ac:dyDescent="0.2">
      <c r="A37" s="1" t="s">
        <v>50</v>
      </c>
      <c r="B37" s="1"/>
      <c r="C37" s="1"/>
      <c r="D37" s="1"/>
      <c r="E37" s="1">
        <v>0</v>
      </c>
      <c r="F37" s="1" t="s">
        <v>51</v>
      </c>
      <c r="G37" s="1"/>
      <c r="H37" s="1"/>
      <c r="I37" s="1"/>
      <c r="J37" s="1"/>
      <c r="K37" s="1"/>
    </row>
    <row r="38" spans="1:13" x14ac:dyDescent="0.2">
      <c r="A38" s="1" t="s">
        <v>52</v>
      </c>
      <c r="B38" s="1"/>
      <c r="C38" s="1"/>
      <c r="D38" s="1"/>
      <c r="E38" s="1">
        <v>20000</v>
      </c>
      <c r="F38" s="1" t="s">
        <v>53</v>
      </c>
      <c r="G38" s="1"/>
      <c r="H38" s="1"/>
      <c r="I38" s="1"/>
      <c r="J38" s="1"/>
      <c r="K38" s="1"/>
    </row>
    <row r="39" spans="1:13" x14ac:dyDescent="0.2">
      <c r="A39" s="1" t="s">
        <v>54</v>
      </c>
      <c r="B39" s="1"/>
      <c r="C39" s="1"/>
      <c r="D39" s="1"/>
      <c r="E39" s="1" t="s">
        <v>55</v>
      </c>
      <c r="F39" s="1"/>
      <c r="G39" s="1"/>
      <c r="H39" s="1"/>
      <c r="I39" s="1"/>
      <c r="J39" s="1"/>
      <c r="K39" s="1"/>
    </row>
    <row r="40" spans="1:13" x14ac:dyDescent="0.2">
      <c r="A40" s="1" t="s">
        <v>56</v>
      </c>
      <c r="B40" s="1"/>
      <c r="C40" s="1"/>
      <c r="D40" s="1"/>
      <c r="E40" s="1" t="s">
        <v>32</v>
      </c>
      <c r="F40" s="1"/>
      <c r="G40" s="1"/>
      <c r="H40" s="1"/>
      <c r="I40" s="1"/>
      <c r="J40" s="1"/>
      <c r="K40" s="1"/>
    </row>
    <row r="41" spans="1:13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3" x14ac:dyDescent="0.2">
      <c r="A42" s="1" t="s">
        <v>57</v>
      </c>
      <c r="B42" s="1"/>
      <c r="C42" s="1"/>
      <c r="D42" s="1"/>
      <c r="E42" s="1" t="s">
        <v>58</v>
      </c>
      <c r="F42" s="1"/>
      <c r="G42" s="1"/>
      <c r="H42" s="1"/>
      <c r="I42" s="1"/>
      <c r="J42" s="1"/>
      <c r="K42" s="1"/>
    </row>
    <row r="43" spans="1:13" x14ac:dyDescent="0.2">
      <c r="A43" s="1" t="s">
        <v>59</v>
      </c>
      <c r="B43" s="1"/>
      <c r="C43" s="1"/>
      <c r="D43" s="1"/>
      <c r="E43" s="1">
        <v>24.1</v>
      </c>
      <c r="F43" s="1" t="s">
        <v>60</v>
      </c>
      <c r="G43" s="1"/>
      <c r="H43" s="1"/>
      <c r="I43" s="1"/>
      <c r="J43" s="1"/>
      <c r="K43" s="1"/>
    </row>
    <row r="44" spans="1:13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3" x14ac:dyDescent="0.2">
      <c r="A45" s="3" t="s">
        <v>61</v>
      </c>
      <c r="B45" s="3" t="s">
        <v>62</v>
      </c>
      <c r="C45" s="3" t="s">
        <v>63</v>
      </c>
      <c r="D45" s="3" t="s">
        <v>64</v>
      </c>
      <c r="E45" s="3" t="s">
        <v>65</v>
      </c>
      <c r="F45" s="3" t="s">
        <v>66</v>
      </c>
      <c r="G45" s="3" t="s">
        <v>67</v>
      </c>
      <c r="H45" s="3" t="s">
        <v>68</v>
      </c>
      <c r="I45" s="3" t="s">
        <v>69</v>
      </c>
      <c r="J45" s="3" t="s">
        <v>70</v>
      </c>
      <c r="K45" s="3" t="s">
        <v>71</v>
      </c>
      <c r="L45" s="3" t="s">
        <v>72</v>
      </c>
      <c r="M45" s="3" t="s">
        <v>73</v>
      </c>
    </row>
    <row r="46" spans="1:13" x14ac:dyDescent="0.2">
      <c r="A46" s="3" t="s">
        <v>74</v>
      </c>
      <c r="B46" s="1" t="s">
        <v>1</v>
      </c>
      <c r="C46" s="1" t="s">
        <v>1</v>
      </c>
      <c r="D46" s="1" t="s">
        <v>1</v>
      </c>
      <c r="E46" s="1" t="s">
        <v>1</v>
      </c>
      <c r="F46" s="1" t="s">
        <v>1</v>
      </c>
      <c r="G46" s="1" t="s">
        <v>1</v>
      </c>
      <c r="H46" s="1" t="s">
        <v>1</v>
      </c>
      <c r="I46" s="1" t="s">
        <v>1</v>
      </c>
      <c r="J46" s="5" t="s">
        <v>86</v>
      </c>
      <c r="K46" s="5">
        <v>53021</v>
      </c>
      <c r="L46" s="5">
        <v>52168</v>
      </c>
      <c r="M46" s="5">
        <v>51978</v>
      </c>
    </row>
    <row r="47" spans="1:13" x14ac:dyDescent="0.2">
      <c r="A47" s="3" t="s">
        <v>75</v>
      </c>
      <c r="B47" s="1" t="s">
        <v>1</v>
      </c>
      <c r="C47" s="1" t="s">
        <v>1</v>
      </c>
      <c r="D47" s="1" t="s">
        <v>1</v>
      </c>
      <c r="E47" s="1" t="s">
        <v>1</v>
      </c>
      <c r="F47" s="1" t="s">
        <v>1</v>
      </c>
      <c r="G47" s="1" t="s">
        <v>1</v>
      </c>
      <c r="H47" s="1" t="s">
        <v>1</v>
      </c>
      <c r="I47" s="1" t="s">
        <v>1</v>
      </c>
      <c r="J47" s="5" t="s">
        <v>87</v>
      </c>
      <c r="K47" s="5">
        <v>32797</v>
      </c>
      <c r="L47" s="5">
        <v>33158</v>
      </c>
      <c r="M47" s="5">
        <v>33484</v>
      </c>
    </row>
    <row r="48" spans="1:13" x14ac:dyDescent="0.2">
      <c r="A48" s="3" t="s">
        <v>76</v>
      </c>
      <c r="B48" s="1" t="s">
        <v>1</v>
      </c>
      <c r="C48" s="1" t="s">
        <v>1</v>
      </c>
      <c r="D48" s="1" t="s">
        <v>1</v>
      </c>
      <c r="E48" s="1" t="s">
        <v>1</v>
      </c>
      <c r="F48" s="1" t="s">
        <v>1</v>
      </c>
      <c r="G48" s="1" t="s">
        <v>1</v>
      </c>
      <c r="H48" s="1" t="s">
        <v>1</v>
      </c>
      <c r="I48" s="1" t="s">
        <v>1</v>
      </c>
      <c r="J48" s="5" t="s">
        <v>88</v>
      </c>
      <c r="K48" s="5">
        <v>24917</v>
      </c>
      <c r="L48" s="5">
        <v>23543</v>
      </c>
      <c r="M48" s="5">
        <v>23548</v>
      </c>
    </row>
    <row r="49" spans="1:17" x14ac:dyDescent="0.2">
      <c r="A49" s="3" t="s">
        <v>77</v>
      </c>
      <c r="B49" s="1" t="s">
        <v>1</v>
      </c>
      <c r="C49" s="1" t="s">
        <v>1</v>
      </c>
      <c r="D49" s="1" t="s">
        <v>1</v>
      </c>
      <c r="E49" s="1" t="s">
        <v>1</v>
      </c>
      <c r="F49" s="1" t="s">
        <v>1</v>
      </c>
      <c r="G49" s="1" t="s">
        <v>1</v>
      </c>
      <c r="H49" s="1" t="s">
        <v>1</v>
      </c>
      <c r="I49" s="1" t="s">
        <v>1</v>
      </c>
      <c r="J49" s="5" t="s">
        <v>89</v>
      </c>
      <c r="K49" s="5">
        <v>13361</v>
      </c>
      <c r="L49" s="5">
        <v>13004</v>
      </c>
      <c r="M49" s="5">
        <v>12442</v>
      </c>
    </row>
    <row r="50" spans="1:17" x14ac:dyDescent="0.2">
      <c r="A50" s="3" t="s">
        <v>78</v>
      </c>
      <c r="B50" s="1" t="s">
        <v>1</v>
      </c>
      <c r="C50" s="1" t="s">
        <v>1</v>
      </c>
      <c r="D50" s="1" t="s">
        <v>1</v>
      </c>
      <c r="E50" s="1" t="s">
        <v>1</v>
      </c>
      <c r="F50" s="1" t="s">
        <v>1</v>
      </c>
      <c r="G50" s="1" t="s">
        <v>1</v>
      </c>
      <c r="H50" s="1" t="s">
        <v>1</v>
      </c>
      <c r="I50" s="1" t="s">
        <v>1</v>
      </c>
      <c r="J50" s="1" t="s">
        <v>1</v>
      </c>
      <c r="K50" s="1" t="s">
        <v>1</v>
      </c>
      <c r="L50" s="1" t="s">
        <v>1</v>
      </c>
      <c r="M50" s="1" t="s">
        <v>1</v>
      </c>
    </row>
    <row r="51" spans="1:17" x14ac:dyDescent="0.2">
      <c r="A51" s="3" t="s">
        <v>79</v>
      </c>
      <c r="B51" s="1" t="s">
        <v>1</v>
      </c>
      <c r="C51" s="1" t="s">
        <v>1</v>
      </c>
      <c r="D51" s="1" t="s">
        <v>1</v>
      </c>
      <c r="E51" s="1" t="s">
        <v>1</v>
      </c>
      <c r="F51" s="1" t="s">
        <v>1</v>
      </c>
      <c r="G51" s="1" t="s">
        <v>1</v>
      </c>
      <c r="H51" s="1" t="s">
        <v>1</v>
      </c>
      <c r="I51" s="1" t="s">
        <v>1</v>
      </c>
      <c r="J51" s="1" t="s">
        <v>1</v>
      </c>
      <c r="K51" s="1" t="s">
        <v>1</v>
      </c>
      <c r="L51" s="1" t="s">
        <v>1</v>
      </c>
      <c r="M51" s="1" t="s">
        <v>1</v>
      </c>
    </row>
    <row r="52" spans="1:17" x14ac:dyDescent="0.2">
      <c r="A52" s="3" t="s">
        <v>80</v>
      </c>
      <c r="B52" s="1" t="s">
        <v>1</v>
      </c>
      <c r="C52" s="1" t="s">
        <v>1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  <c r="J52" s="7" t="s">
        <v>97</v>
      </c>
      <c r="K52" s="8" t="s">
        <v>1</v>
      </c>
      <c r="L52" s="8" t="s">
        <v>1</v>
      </c>
      <c r="M52" s="22" t="s">
        <v>1</v>
      </c>
      <c r="N52" s="9"/>
      <c r="O52" s="10"/>
    </row>
    <row r="53" spans="1:17" x14ac:dyDescent="0.2">
      <c r="A53" s="3" t="s">
        <v>81</v>
      </c>
      <c r="B53" s="1" t="s">
        <v>1</v>
      </c>
      <c r="C53" s="1" t="s">
        <v>1</v>
      </c>
      <c r="D53" s="1" t="s">
        <v>1</v>
      </c>
      <c r="E53" s="1" t="s">
        <v>1</v>
      </c>
      <c r="F53" s="1" t="s">
        <v>1</v>
      </c>
      <c r="G53" s="1" t="s">
        <v>1</v>
      </c>
      <c r="H53" s="1" t="s">
        <v>1</v>
      </c>
      <c r="I53" s="1" t="s">
        <v>1</v>
      </c>
      <c r="J53" s="11" t="s">
        <v>95</v>
      </c>
      <c r="K53" s="1" t="s">
        <v>1</v>
      </c>
      <c r="L53" s="1" t="s">
        <v>1</v>
      </c>
      <c r="M53" s="23" t="s">
        <v>1</v>
      </c>
      <c r="N53" s="12" t="s">
        <v>93</v>
      </c>
      <c r="O53" s="13" t="s">
        <v>92</v>
      </c>
    </row>
    <row r="54" spans="1:17" x14ac:dyDescent="0.2">
      <c r="A54" s="1"/>
      <c r="B54" s="1"/>
      <c r="C54" s="1"/>
      <c r="D54" s="1"/>
      <c r="E54" s="1"/>
      <c r="F54" s="1"/>
      <c r="G54" s="1"/>
      <c r="H54" s="1"/>
      <c r="I54" s="1"/>
      <c r="J54" s="7" t="s">
        <v>86</v>
      </c>
      <c r="K54" s="8">
        <f>K80/K46</f>
        <v>1.0012447898002679</v>
      </c>
      <c r="L54" s="8">
        <f t="shared" ref="L54:M54" si="0">L80/L46</f>
        <v>0.99863901242140773</v>
      </c>
      <c r="M54" s="22">
        <f t="shared" si="0"/>
        <v>1.0176420793412597</v>
      </c>
      <c r="N54" s="26">
        <f>AVERAGE(K54:M54)</f>
        <v>1.0058419605209785</v>
      </c>
      <c r="O54" s="27">
        <f>_xlfn.STDEV.S(K54:M54)</f>
        <v>1.0301923221739331E-2</v>
      </c>
    </row>
    <row r="55" spans="1:17" x14ac:dyDescent="0.2">
      <c r="A55" s="4"/>
      <c r="B55" s="4"/>
      <c r="C55" s="4"/>
      <c r="D55" s="4"/>
      <c r="E55" s="4"/>
      <c r="F55" s="4"/>
      <c r="G55" s="4"/>
      <c r="H55" s="4"/>
      <c r="I55" s="4"/>
      <c r="J55" s="11" t="s">
        <v>87</v>
      </c>
      <c r="K55" s="1">
        <f t="shared" ref="K55:M55" si="1">K81/K47</f>
        <v>0.7522029453913468</v>
      </c>
      <c r="L55" s="1">
        <f t="shared" si="1"/>
        <v>0.7512817419627239</v>
      </c>
      <c r="M55" s="23">
        <f t="shared" si="1"/>
        <v>0.73718791064388967</v>
      </c>
      <c r="N55" s="14">
        <f t="shared" ref="N55:N68" si="2">AVERAGE(K55:M55)</f>
        <v>0.7468908659993202</v>
      </c>
      <c r="O55" s="15">
        <f t="shared" ref="O55:O68" si="3">_xlfn.STDEV.S(K55:M55)</f>
        <v>8.4156200550722406E-3</v>
      </c>
    </row>
    <row r="56" spans="1:17" x14ac:dyDescent="0.2">
      <c r="A56" s="1" t="s">
        <v>82</v>
      </c>
      <c r="B56" s="1"/>
      <c r="C56" s="1"/>
      <c r="D56" s="1"/>
      <c r="E56" s="1" t="s">
        <v>83</v>
      </c>
      <c r="F56" s="1"/>
      <c r="G56" s="1"/>
      <c r="H56" s="1"/>
      <c r="I56" s="1"/>
      <c r="J56" s="18" t="s">
        <v>88</v>
      </c>
      <c r="K56" s="19">
        <f t="shared" ref="K56:M56" si="4">K82/K48</f>
        <v>0.74338804832042382</v>
      </c>
      <c r="L56" s="19">
        <f t="shared" si="4"/>
        <v>0.75912160727180056</v>
      </c>
      <c r="M56" s="25">
        <f t="shared" si="4"/>
        <v>0.7779429250891795</v>
      </c>
      <c r="N56" s="20">
        <f t="shared" si="2"/>
        <v>0.76015086022713463</v>
      </c>
      <c r="O56" s="21">
        <f t="shared" si="3"/>
        <v>1.73004161325825E-2</v>
      </c>
    </row>
    <row r="57" spans="1:17" x14ac:dyDescent="0.2">
      <c r="A57" s="1"/>
      <c r="B57" s="1"/>
      <c r="C57" s="1"/>
      <c r="D57" s="1"/>
      <c r="E57" s="1"/>
      <c r="F57" s="1"/>
      <c r="G57" s="1"/>
      <c r="H57" s="1"/>
      <c r="I57" s="1"/>
      <c r="J57" s="11"/>
      <c r="K57" s="1"/>
      <c r="L57" s="1"/>
      <c r="M57" s="23"/>
      <c r="N57" s="16"/>
      <c r="O57" s="17"/>
    </row>
    <row r="58" spans="1:17" x14ac:dyDescent="0.2">
      <c r="A58" s="1" t="s">
        <v>33</v>
      </c>
      <c r="B58" s="1" t="s">
        <v>25</v>
      </c>
      <c r="C58" s="1"/>
      <c r="D58" s="1"/>
      <c r="E58" s="1"/>
      <c r="F58" s="1"/>
      <c r="G58" s="1"/>
      <c r="H58" s="1"/>
      <c r="I58" s="1"/>
      <c r="J58" s="11"/>
      <c r="K58" s="1"/>
      <c r="M58" s="24"/>
      <c r="N58" s="14"/>
      <c r="O58" s="15"/>
    </row>
    <row r="59" spans="1:17" x14ac:dyDescent="0.2">
      <c r="A59" s="1" t="s">
        <v>28</v>
      </c>
      <c r="B59" s="1" t="s">
        <v>27</v>
      </c>
      <c r="C59" s="1"/>
      <c r="D59" s="6"/>
      <c r="E59" s="1"/>
      <c r="F59" s="1"/>
      <c r="G59" s="1"/>
      <c r="H59" s="1"/>
      <c r="I59" s="1"/>
      <c r="J59" s="11" t="s">
        <v>94</v>
      </c>
      <c r="K59" s="1"/>
      <c r="M59" s="24"/>
      <c r="N59" s="14"/>
      <c r="O59" s="15"/>
    </row>
    <row r="60" spans="1:17" x14ac:dyDescent="0.2">
      <c r="A60" s="1" t="s">
        <v>34</v>
      </c>
      <c r="B60" s="1"/>
      <c r="C60" s="1"/>
      <c r="D60" s="1"/>
      <c r="E60" s="1" t="s">
        <v>35</v>
      </c>
      <c r="F60" s="1"/>
      <c r="G60" s="1"/>
      <c r="H60" s="1"/>
      <c r="I60" s="1"/>
      <c r="J60" s="7" t="s">
        <v>86</v>
      </c>
      <c r="K60" s="8">
        <f>(K80-K$83)/(K46-K$49)</f>
        <v>1.3369641956631366</v>
      </c>
      <c r="L60" s="8">
        <f t="shared" ref="L60:M60" si="5">(L80-L$83)/(L46-L$49)</f>
        <v>1.3286947196404861</v>
      </c>
      <c r="M60" s="22">
        <f t="shared" si="5"/>
        <v>1.3363769728854715</v>
      </c>
      <c r="N60" s="28">
        <f>AVERAGE(K60:M60)</f>
        <v>1.334011962729698</v>
      </c>
      <c r="O60" s="29">
        <f t="shared" si="3"/>
        <v>4.6142185903987522E-3</v>
      </c>
    </row>
    <row r="61" spans="1:17" x14ac:dyDescent="0.2">
      <c r="A61" s="1" t="s">
        <v>36</v>
      </c>
      <c r="B61" s="1"/>
      <c r="C61" s="1"/>
      <c r="D61" s="1"/>
      <c r="E61" s="1">
        <v>485</v>
      </c>
      <c r="F61" s="1" t="s">
        <v>37</v>
      </c>
      <c r="G61" s="1"/>
      <c r="H61" s="1"/>
      <c r="I61" s="1"/>
      <c r="J61" s="11" t="s">
        <v>87</v>
      </c>
      <c r="K61" s="1">
        <f t="shared" ref="K61:M61" si="6">(K81-K$83)/(K47-K$49)</f>
        <v>1.266052685737806</v>
      </c>
      <c r="L61" s="1">
        <f t="shared" si="6"/>
        <v>1.2330554728589858</v>
      </c>
      <c r="M61" s="23">
        <f t="shared" si="6"/>
        <v>1.1702309666381523</v>
      </c>
      <c r="N61" s="14">
        <f>AVERAGE(K61:M61)</f>
        <v>1.2231130417449814</v>
      </c>
      <c r="O61" s="15">
        <f t="shared" si="3"/>
        <v>4.8678428642939774E-2</v>
      </c>
      <c r="Q61">
        <f>1/N61</f>
        <v>0.81758591877438225</v>
      </c>
    </row>
    <row r="62" spans="1:17" x14ac:dyDescent="0.2">
      <c r="A62" s="1" t="s">
        <v>38</v>
      </c>
      <c r="B62" s="1"/>
      <c r="C62" s="1"/>
      <c r="D62" s="1"/>
      <c r="E62" s="1">
        <v>20</v>
      </c>
      <c r="F62" s="1" t="s">
        <v>37</v>
      </c>
      <c r="G62" s="1"/>
      <c r="H62" s="1"/>
      <c r="I62" s="1"/>
      <c r="J62" s="18" t="s">
        <v>88</v>
      </c>
      <c r="K62" s="19">
        <f t="shared" ref="K62:M62" si="7">(K82-K$83)/(K48-K$49)</f>
        <v>1.5974385600553824</v>
      </c>
      <c r="L62" s="19">
        <f t="shared" si="7"/>
        <v>1.6901034253724263</v>
      </c>
      <c r="M62" s="25">
        <f t="shared" si="7"/>
        <v>1.6440662704844229</v>
      </c>
      <c r="N62" s="20">
        <f t="shared" si="2"/>
        <v>1.6438694186374105</v>
      </c>
      <c r="O62" s="21">
        <f t="shared" si="3"/>
        <v>4.6332746292916033E-2</v>
      </c>
      <c r="Q62">
        <f>1/N62</f>
        <v>0.60832082442952895</v>
      </c>
    </row>
    <row r="63" spans="1:17" x14ac:dyDescent="0.2">
      <c r="A63" s="1" t="s">
        <v>39</v>
      </c>
      <c r="B63" s="1"/>
      <c r="C63" s="1"/>
      <c r="D63" s="1"/>
      <c r="E63" s="1" t="s">
        <v>35</v>
      </c>
      <c r="F63" s="1"/>
      <c r="G63" s="1"/>
      <c r="H63" s="1"/>
      <c r="I63" s="1"/>
      <c r="J63" s="11"/>
      <c r="K63" s="1"/>
      <c r="L63" s="1"/>
      <c r="M63" s="23"/>
      <c r="N63" s="14"/>
      <c r="O63" s="15"/>
    </row>
    <row r="64" spans="1:17" x14ac:dyDescent="0.2">
      <c r="A64" s="1" t="s">
        <v>40</v>
      </c>
      <c r="B64" s="1"/>
      <c r="C64" s="1"/>
      <c r="D64" s="1"/>
      <c r="E64" s="1">
        <v>535.00000000000011</v>
      </c>
      <c r="F64" s="1" t="s">
        <v>37</v>
      </c>
      <c r="G64" s="1"/>
      <c r="H64" s="1"/>
      <c r="I64" s="1"/>
      <c r="J64" s="11"/>
      <c r="K64" s="1"/>
      <c r="M64" s="24"/>
      <c r="N64" s="14"/>
      <c r="O64" s="15"/>
    </row>
    <row r="65" spans="1:15" x14ac:dyDescent="0.2">
      <c r="A65" s="1" t="s">
        <v>41</v>
      </c>
      <c r="B65" s="1"/>
      <c r="C65" s="1"/>
      <c r="D65" s="1"/>
      <c r="E65" s="1">
        <v>20</v>
      </c>
      <c r="F65" s="1" t="s">
        <v>37</v>
      </c>
      <c r="G65" s="1"/>
      <c r="H65" s="1"/>
      <c r="I65" s="1"/>
      <c r="J65" s="11" t="s">
        <v>96</v>
      </c>
      <c r="K65" s="1"/>
      <c r="M65" s="24"/>
      <c r="N65" s="14"/>
      <c r="O65" s="15"/>
    </row>
    <row r="66" spans="1:15" x14ac:dyDescent="0.2">
      <c r="A66" s="1" t="s">
        <v>42</v>
      </c>
      <c r="B66" s="1"/>
      <c r="C66" s="1"/>
      <c r="D66" s="1"/>
      <c r="E66" s="1">
        <v>109</v>
      </c>
      <c r="F66" s="1" t="s">
        <v>43</v>
      </c>
      <c r="G66" s="1"/>
      <c r="H66" s="1"/>
      <c r="I66" s="1"/>
      <c r="J66" s="11"/>
      <c r="K66" s="1"/>
      <c r="M66" s="24"/>
      <c r="N66" s="14"/>
      <c r="O66" s="15"/>
    </row>
    <row r="67" spans="1:15" x14ac:dyDescent="0.2">
      <c r="A67" s="1" t="s">
        <v>44</v>
      </c>
      <c r="B67" s="1"/>
      <c r="C67" s="1"/>
      <c r="D67" s="1"/>
      <c r="E67" s="1" t="s">
        <v>45</v>
      </c>
      <c r="F67" s="1"/>
      <c r="G67" s="1"/>
      <c r="H67" s="1"/>
      <c r="I67" s="1"/>
      <c r="J67" s="7" t="s">
        <v>87</v>
      </c>
      <c r="K67" s="8">
        <f>(K81-K$80)/(K47-K$46)</f>
        <v>1.4051127373417722</v>
      </c>
      <c r="L67" s="8">
        <f t="shared" ref="L67:M68" si="8">(L81-L$80)/(L47-L$46)</f>
        <v>1.4300894266175697</v>
      </c>
      <c r="M67" s="22">
        <f t="shared" si="8"/>
        <v>1.5254136476695144</v>
      </c>
      <c r="N67" s="26">
        <f t="shared" si="2"/>
        <v>1.4535386038762852</v>
      </c>
      <c r="O67" s="27">
        <f t="shared" si="3"/>
        <v>6.3486023595779484E-2</v>
      </c>
    </row>
    <row r="68" spans="1:15" x14ac:dyDescent="0.2">
      <c r="A68" s="1" t="s">
        <v>46</v>
      </c>
      <c r="B68" s="1"/>
      <c r="C68" s="1"/>
      <c r="D68" s="1"/>
      <c r="E68" s="1">
        <v>30</v>
      </c>
      <c r="F68" s="1"/>
      <c r="G68" s="1"/>
      <c r="H68" s="1"/>
      <c r="I68" s="1"/>
      <c r="J68" s="18" t="s">
        <v>88</v>
      </c>
      <c r="K68" s="19">
        <f>(K82-K$80)/(K48-K$46)</f>
        <v>1.2298605180757187</v>
      </c>
      <c r="L68" s="19">
        <f t="shared" si="8"/>
        <v>1.1956331877729258</v>
      </c>
      <c r="M68" s="25">
        <f t="shared" si="8"/>
        <v>1.2161800914526908</v>
      </c>
      <c r="N68" s="20">
        <f t="shared" si="2"/>
        <v>1.2138912657671119</v>
      </c>
      <c r="O68" s="21">
        <f t="shared" si="3"/>
        <v>1.7228075260409852E-2</v>
      </c>
    </row>
    <row r="69" spans="1:15" x14ac:dyDescent="0.2">
      <c r="A69" s="1" t="s">
        <v>47</v>
      </c>
      <c r="B69" s="1"/>
      <c r="C69" s="1"/>
      <c r="D69" s="1"/>
      <c r="E69" s="1">
        <v>40</v>
      </c>
      <c r="F69" s="1" t="s">
        <v>48</v>
      </c>
      <c r="G69" s="1"/>
      <c r="H69" s="1"/>
      <c r="I69" s="1"/>
      <c r="J69" s="1"/>
      <c r="K69" s="1"/>
    </row>
    <row r="70" spans="1:15" x14ac:dyDescent="0.2">
      <c r="A70" s="1" t="s">
        <v>49</v>
      </c>
      <c r="B70" s="1"/>
      <c r="C70" s="1"/>
      <c r="D70" s="1"/>
      <c r="E70" s="1">
        <v>0</v>
      </c>
      <c r="F70" s="1" t="s">
        <v>48</v>
      </c>
      <c r="G70" s="1"/>
      <c r="H70" s="1"/>
      <c r="I70" s="1"/>
      <c r="J70" s="1"/>
      <c r="K70" s="1"/>
    </row>
    <row r="71" spans="1:15" x14ac:dyDescent="0.2">
      <c r="A71" s="1" t="s">
        <v>50</v>
      </c>
      <c r="B71" s="1"/>
      <c r="C71" s="1"/>
      <c r="D71" s="1"/>
      <c r="E71" s="1">
        <v>0</v>
      </c>
      <c r="F71" s="1" t="s">
        <v>51</v>
      </c>
      <c r="G71" s="1"/>
      <c r="H71" s="1"/>
      <c r="I71" s="1"/>
      <c r="J71" s="1"/>
      <c r="K71" s="1"/>
    </row>
    <row r="72" spans="1:15" x14ac:dyDescent="0.2">
      <c r="A72" s="1" t="s">
        <v>52</v>
      </c>
      <c r="B72" s="1"/>
      <c r="C72" s="1"/>
      <c r="D72" s="1"/>
      <c r="E72" s="1">
        <v>20000</v>
      </c>
      <c r="F72" s="1" t="s">
        <v>53</v>
      </c>
      <c r="G72" s="1"/>
      <c r="H72" s="1"/>
      <c r="I72" s="1"/>
      <c r="J72" s="1"/>
      <c r="K72" s="1"/>
    </row>
    <row r="73" spans="1:15" x14ac:dyDescent="0.2">
      <c r="A73" s="1" t="s">
        <v>54</v>
      </c>
      <c r="B73" s="1"/>
      <c r="C73" s="1"/>
      <c r="D73" s="1"/>
      <c r="E73" s="1" t="s">
        <v>55</v>
      </c>
      <c r="F73" s="1"/>
      <c r="G73" s="1"/>
      <c r="H73" s="1"/>
      <c r="I73" s="1"/>
      <c r="J73" s="1"/>
      <c r="K73" s="1"/>
    </row>
    <row r="74" spans="1:15" x14ac:dyDescent="0.2">
      <c r="A74" s="1" t="s">
        <v>56</v>
      </c>
      <c r="B74" s="1"/>
      <c r="C74" s="1"/>
      <c r="D74" s="1"/>
      <c r="E74" s="1" t="s">
        <v>32</v>
      </c>
      <c r="F74" s="1"/>
      <c r="G74" s="1"/>
      <c r="H74" s="1"/>
      <c r="I74" s="1"/>
      <c r="J74" s="1"/>
      <c r="K74" s="1"/>
    </row>
    <row r="75" spans="1:1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5" x14ac:dyDescent="0.2">
      <c r="A76" s="1" t="s">
        <v>57</v>
      </c>
      <c r="B76" s="1"/>
      <c r="C76" s="1"/>
      <c r="D76" s="1"/>
      <c r="E76" s="1" t="s">
        <v>84</v>
      </c>
      <c r="F76" s="1"/>
      <c r="G76" s="1"/>
      <c r="H76" s="1"/>
      <c r="I76" s="1"/>
      <c r="J76" s="1"/>
      <c r="K76" s="1"/>
    </row>
    <row r="77" spans="1:15" x14ac:dyDescent="0.2">
      <c r="A77" s="1" t="s">
        <v>59</v>
      </c>
      <c r="B77" s="1"/>
      <c r="C77" s="1"/>
      <c r="D77" s="1"/>
      <c r="E77" s="1">
        <v>24.1</v>
      </c>
      <c r="F77" s="1" t="s">
        <v>60</v>
      </c>
      <c r="G77" s="1"/>
      <c r="H77" s="1"/>
      <c r="I77" s="1"/>
      <c r="J77" s="1"/>
      <c r="K77" s="1"/>
    </row>
    <row r="78" spans="1:1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5" x14ac:dyDescent="0.2">
      <c r="A79" s="3" t="s">
        <v>61</v>
      </c>
      <c r="B79" s="3" t="s">
        <v>62</v>
      </c>
      <c r="C79" s="3" t="s">
        <v>63</v>
      </c>
      <c r="D79" s="3" t="s">
        <v>64</v>
      </c>
      <c r="E79" s="3" t="s">
        <v>65</v>
      </c>
      <c r="F79" s="3" t="s">
        <v>66</v>
      </c>
      <c r="G79" s="3" t="s">
        <v>67</v>
      </c>
      <c r="H79" s="3" t="s">
        <v>68</v>
      </c>
      <c r="I79" s="3" t="s">
        <v>69</v>
      </c>
      <c r="J79" s="3" t="s">
        <v>70</v>
      </c>
      <c r="K79" s="3" t="s">
        <v>71</v>
      </c>
      <c r="L79" s="3" t="s">
        <v>72</v>
      </c>
      <c r="M79" s="3" t="s">
        <v>73</v>
      </c>
    </row>
    <row r="80" spans="1:15" x14ac:dyDescent="0.2">
      <c r="A80" s="3" t="s">
        <v>74</v>
      </c>
      <c r="B80" s="1" t="s">
        <v>1</v>
      </c>
      <c r="C80" s="1" t="s">
        <v>1</v>
      </c>
      <c r="D80" s="1" t="s">
        <v>1</v>
      </c>
      <c r="E80" s="1" t="s">
        <v>1</v>
      </c>
      <c r="F80" s="1" t="s">
        <v>1</v>
      </c>
      <c r="G80" s="1" t="s">
        <v>1</v>
      </c>
      <c r="H80" s="1" t="s">
        <v>1</v>
      </c>
      <c r="I80" s="1" t="s">
        <v>1</v>
      </c>
      <c r="J80" s="6" t="s">
        <v>86</v>
      </c>
      <c r="K80" s="6">
        <v>53087</v>
      </c>
      <c r="L80" s="6">
        <v>52097</v>
      </c>
      <c r="M80" s="6">
        <v>52895</v>
      </c>
    </row>
    <row r="81" spans="1:13" x14ac:dyDescent="0.2">
      <c r="A81" s="3" t="s">
        <v>75</v>
      </c>
      <c r="B81" s="1" t="s">
        <v>1</v>
      </c>
      <c r="C81" s="1" t="s">
        <v>1</v>
      </c>
      <c r="D81" s="1" t="s">
        <v>1</v>
      </c>
      <c r="E81" s="1" t="s">
        <v>1</v>
      </c>
      <c r="F81" s="1" t="s">
        <v>1</v>
      </c>
      <c r="G81" s="1" t="s">
        <v>1</v>
      </c>
      <c r="H81" s="1" t="s">
        <v>1</v>
      </c>
      <c r="I81" s="1" t="s">
        <v>1</v>
      </c>
      <c r="J81" s="6" t="s">
        <v>87</v>
      </c>
      <c r="K81" s="6">
        <v>24670</v>
      </c>
      <c r="L81" s="6">
        <v>24911</v>
      </c>
      <c r="M81" s="6">
        <v>24684</v>
      </c>
    </row>
    <row r="82" spans="1:13" x14ac:dyDescent="0.2">
      <c r="A82" s="3" t="s">
        <v>76</v>
      </c>
      <c r="B82" s="1" t="s">
        <v>1</v>
      </c>
      <c r="C82" s="1" t="s">
        <v>1</v>
      </c>
      <c r="D82" s="1" t="s">
        <v>1</v>
      </c>
      <c r="E82" s="1" t="s">
        <v>1</v>
      </c>
      <c r="F82" s="1" t="s">
        <v>1</v>
      </c>
      <c r="G82" s="1" t="s">
        <v>1</v>
      </c>
      <c r="H82" s="1" t="s">
        <v>1</v>
      </c>
      <c r="I82" s="1" t="s">
        <v>1</v>
      </c>
      <c r="J82" s="6" t="s">
        <v>88</v>
      </c>
      <c r="K82" s="6">
        <v>18523</v>
      </c>
      <c r="L82" s="6">
        <v>17872</v>
      </c>
      <c r="M82" s="6">
        <v>18319</v>
      </c>
    </row>
    <row r="83" spans="1:13" x14ac:dyDescent="0.2">
      <c r="A83" s="3" t="s">
        <v>77</v>
      </c>
      <c r="B83" s="1" t="s">
        <v>1</v>
      </c>
      <c r="C83" s="1" t="s">
        <v>1</v>
      </c>
      <c r="D83" s="1" t="s">
        <v>1</v>
      </c>
      <c r="E83" s="1" t="s">
        <v>1</v>
      </c>
      <c r="F83" s="1" t="s">
        <v>1</v>
      </c>
      <c r="G83" s="1" t="s">
        <v>1</v>
      </c>
      <c r="H83" s="1" t="s">
        <v>1</v>
      </c>
      <c r="I83" s="1" t="s">
        <v>1</v>
      </c>
      <c r="J83" s="6" t="s">
        <v>89</v>
      </c>
      <c r="K83" s="6">
        <v>63</v>
      </c>
      <c r="L83" s="6">
        <v>60</v>
      </c>
      <c r="M83" s="6">
        <v>60</v>
      </c>
    </row>
    <row r="84" spans="1:13" x14ac:dyDescent="0.2">
      <c r="A84" s="3" t="s">
        <v>78</v>
      </c>
      <c r="B84" s="1" t="s">
        <v>1</v>
      </c>
      <c r="C84" s="1" t="s">
        <v>1</v>
      </c>
      <c r="D84" s="1" t="s">
        <v>1</v>
      </c>
      <c r="E84" s="1" t="s">
        <v>1</v>
      </c>
      <c r="F84" s="1" t="s">
        <v>1</v>
      </c>
      <c r="G84" s="1" t="s">
        <v>1</v>
      </c>
      <c r="H84" s="1" t="s">
        <v>1</v>
      </c>
      <c r="I84" s="1" t="s">
        <v>1</v>
      </c>
      <c r="J84" s="1" t="s">
        <v>1</v>
      </c>
      <c r="K84" s="1" t="s">
        <v>1</v>
      </c>
      <c r="L84" s="1" t="s">
        <v>1</v>
      </c>
      <c r="M84" s="1" t="s">
        <v>1</v>
      </c>
    </row>
    <row r="85" spans="1:13" x14ac:dyDescent="0.2">
      <c r="A85" s="3" t="s">
        <v>79</v>
      </c>
      <c r="B85" s="1" t="s">
        <v>1</v>
      </c>
      <c r="C85" s="1" t="s">
        <v>1</v>
      </c>
      <c r="D85" s="1" t="s">
        <v>1</v>
      </c>
      <c r="E85" s="1" t="s">
        <v>1</v>
      </c>
      <c r="F85" s="1" t="s">
        <v>1</v>
      </c>
      <c r="G85" s="1" t="s">
        <v>1</v>
      </c>
      <c r="H85" s="1" t="s">
        <v>1</v>
      </c>
      <c r="I85" s="1" t="s">
        <v>1</v>
      </c>
      <c r="J85" s="1" t="s">
        <v>1</v>
      </c>
      <c r="K85" s="1" t="s">
        <v>1</v>
      </c>
      <c r="L85" s="1" t="s">
        <v>1</v>
      </c>
      <c r="M85" s="1" t="s">
        <v>1</v>
      </c>
    </row>
    <row r="86" spans="1:13" x14ac:dyDescent="0.2">
      <c r="A86" s="3" t="s">
        <v>80</v>
      </c>
      <c r="B86" s="1" t="s">
        <v>1</v>
      </c>
      <c r="C86" s="1" t="s">
        <v>1</v>
      </c>
      <c r="D86" s="1" t="s">
        <v>1</v>
      </c>
      <c r="E86" s="1" t="s">
        <v>1</v>
      </c>
      <c r="F86" s="1" t="s">
        <v>1</v>
      </c>
      <c r="G86" s="1" t="s">
        <v>1</v>
      </c>
      <c r="H86" s="1" t="s">
        <v>1</v>
      </c>
      <c r="I86" s="1" t="s">
        <v>1</v>
      </c>
      <c r="J86" s="1" t="s">
        <v>1</v>
      </c>
      <c r="K86" s="1" t="s">
        <v>1</v>
      </c>
      <c r="L86" s="1" t="s">
        <v>1</v>
      </c>
      <c r="M86" s="1" t="s">
        <v>1</v>
      </c>
    </row>
    <row r="87" spans="1:13" x14ac:dyDescent="0.2">
      <c r="A87" s="3" t="s">
        <v>81</v>
      </c>
      <c r="B87" s="1" t="s">
        <v>1</v>
      </c>
      <c r="C87" s="1" t="s">
        <v>1</v>
      </c>
      <c r="D87" s="1" t="s">
        <v>1</v>
      </c>
      <c r="E87" s="1" t="s">
        <v>1</v>
      </c>
      <c r="F87" s="1" t="s">
        <v>1</v>
      </c>
      <c r="G87" s="1" t="s">
        <v>1</v>
      </c>
      <c r="H87" s="1" t="s">
        <v>1</v>
      </c>
      <c r="I87" s="1" t="s">
        <v>1</v>
      </c>
      <c r="J87" s="1" t="s">
        <v>1</v>
      </c>
      <c r="K87" s="1" t="s">
        <v>1</v>
      </c>
      <c r="L87" s="1" t="s">
        <v>1</v>
      </c>
      <c r="M87" s="1" t="s">
        <v>1</v>
      </c>
    </row>
    <row r="88" spans="1:13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3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3" x14ac:dyDescent="0.2">
      <c r="A90" s="1" t="s">
        <v>82</v>
      </c>
      <c r="B90" s="1"/>
      <c r="C90" s="1"/>
      <c r="D90" s="1"/>
      <c r="E90" s="1" t="s">
        <v>85</v>
      </c>
      <c r="F90" s="1"/>
      <c r="G90" s="1"/>
      <c r="H90" s="1"/>
      <c r="I90" s="1"/>
      <c r="J90" s="1"/>
      <c r="K90" s="1"/>
    </row>
    <row r="91" spans="1:13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3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Molecular Systems Biology group</dc:creator>
  <cp:lastModifiedBy>Eduard Mrug</cp:lastModifiedBy>
  <dcterms:created xsi:type="dcterms:W3CDTF">2025-07-17T08:41:25Z</dcterms:created>
  <dcterms:modified xsi:type="dcterms:W3CDTF">2026-01-22T16:57:52Z</dcterms:modified>
</cp:coreProperties>
</file>