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/>
  <mc:AlternateContent xmlns:mc="http://schemas.openxmlformats.org/markup-compatibility/2006">
    <mc:Choice Requires="x15">
      <x15ac:absPath xmlns:x15ac="http://schemas.microsoft.com/office/spreadsheetml/2010/11/ac" url="/Users/eduardmrug/Downloads/EcoliReportStuff/"/>
    </mc:Choice>
  </mc:AlternateContent>
  <xr:revisionPtr revIDLastSave="0" documentId="13_ncr:1_{9A85D624-D78B-2748-9ACE-D873ACCB092C}" xr6:coauthVersionLast="47" xr6:coauthVersionMax="47" xr10:uidLastSave="{00000000-0000-0000-0000-000000000000}"/>
  <bookViews>
    <workbookView xWindow="0" yWindow="660" windowWidth="29400" windowHeight="17160" xr2:uid="{00000000-000D-0000-FFFF-FFFF00000000}"/>
  </bookViews>
  <sheets>
    <sheet name="Preculture" sheetId="1" r:id="rId1"/>
    <sheet name="Sheet1" sheetId="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4" i="1" l="1"/>
  <c r="U43" i="1"/>
  <c r="U42" i="1"/>
  <c r="U41" i="1"/>
  <c r="P15" i="1"/>
  <c r="H34" i="1"/>
  <c r="H37" i="1"/>
  <c r="G37" i="1"/>
  <c r="H36" i="1"/>
  <c r="G36" i="1"/>
  <c r="H35" i="1"/>
  <c r="G35" i="1"/>
  <c r="G34" i="1"/>
  <c r="U30" i="1"/>
  <c r="U29" i="1"/>
  <c r="U28" i="1"/>
  <c r="U27" i="1"/>
  <c r="U16" i="1"/>
  <c r="U17" i="1"/>
  <c r="U18" i="1"/>
  <c r="U15" i="1"/>
  <c r="G16" i="1"/>
  <c r="I35" i="1" l="1"/>
  <c r="I34" i="1"/>
  <c r="I36" i="1"/>
  <c r="I37" i="1"/>
  <c r="G15" i="1" l="1"/>
  <c r="H15" i="1"/>
  <c r="H16" i="1"/>
  <c r="I16" i="1" s="1"/>
  <c r="G17" i="1"/>
  <c r="H17" i="1"/>
  <c r="G18" i="1"/>
  <c r="H18" i="1"/>
  <c r="G21" i="1"/>
  <c r="H21" i="1"/>
  <c r="G22" i="1"/>
  <c r="H22" i="1"/>
  <c r="G23" i="1"/>
  <c r="H23" i="1"/>
  <c r="G24" i="1"/>
  <c r="H24" i="1"/>
  <c r="G27" i="1"/>
  <c r="H27" i="1"/>
  <c r="G28" i="1"/>
  <c r="H28" i="1"/>
  <c r="G29" i="1"/>
  <c r="H29" i="1"/>
  <c r="G30" i="1"/>
  <c r="H30" i="1"/>
  <c r="G41" i="1"/>
  <c r="H41" i="1"/>
  <c r="L41" i="1" s="1"/>
  <c r="G42" i="1"/>
  <c r="H42" i="1"/>
  <c r="L42" i="1" s="1"/>
  <c r="G43" i="1"/>
  <c r="H43" i="1"/>
  <c r="L43" i="1" s="1"/>
  <c r="G44" i="1"/>
  <c r="H44" i="1"/>
  <c r="L44" i="1" s="1"/>
  <c r="L29" i="1" l="1"/>
  <c r="L30" i="1"/>
  <c r="L27" i="1"/>
  <c r="L28" i="1"/>
  <c r="I18" i="1"/>
  <c r="I41" i="1"/>
  <c r="I24" i="1"/>
  <c r="I15" i="1"/>
  <c r="I27" i="1"/>
  <c r="I30" i="1"/>
  <c r="I22" i="1"/>
  <c r="I43" i="1"/>
  <c r="I21" i="1"/>
  <c r="I17" i="1"/>
  <c r="I42" i="1"/>
  <c r="I23" i="1"/>
  <c r="I44" i="1"/>
  <c r="I28" i="1"/>
  <c r="I29" i="1"/>
  <c r="P30" i="1" l="1"/>
  <c r="P17" i="1"/>
  <c r="P41" i="1" l="1"/>
  <c r="P43" i="1"/>
  <c r="P42" i="1"/>
  <c r="P29" i="1" l="1"/>
  <c r="P28" i="1"/>
  <c r="P27" i="1"/>
  <c r="R27" i="1" l="1"/>
  <c r="S27" i="1" s="1"/>
  <c r="R29" i="1"/>
  <c r="S29" i="1" s="1"/>
  <c r="R28" i="1"/>
  <c r="S28" i="1" s="1"/>
  <c r="R30" i="1"/>
  <c r="S30" i="1" s="1"/>
  <c r="P44" i="1" l="1"/>
  <c r="R42" i="1"/>
  <c r="P18" i="1"/>
  <c r="P16" i="1"/>
  <c r="R15" i="1" l="1"/>
  <c r="S15" i="1" s="1"/>
  <c r="R17" i="1"/>
  <c r="S17" i="1" s="1"/>
  <c r="R16" i="1"/>
  <c r="S16" i="1" s="1"/>
  <c r="R18" i="1"/>
  <c r="S18" i="1" s="1"/>
  <c r="R41" i="1"/>
  <c r="S41" i="1" s="1"/>
  <c r="S42" i="1"/>
  <c r="R43" i="1"/>
  <c r="S43" i="1" s="1"/>
  <c r="R44" i="1"/>
  <c r="S4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15" authorId="0" shapeId="0" xr:uid="{00000000-0006-0000-0000-000001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Assumed growth rate
</t>
        </r>
        <r>
          <rPr>
            <sz val="11"/>
            <color rgb="FF000000"/>
            <rFont val="Calibri"/>
            <family val="2"/>
          </rPr>
          <t xml:space="preserve">	-tc={E3EE44E5-1C68-404B-81D1-1E2BAE610036}</t>
        </r>
      </text>
    </comment>
    <comment ref="L21" authorId="0" shapeId="0" xr:uid="{00000000-0006-0000-0000-000002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Considering all cells (not only gated)
</t>
        </r>
        <r>
          <rPr>
            <sz val="11"/>
            <color rgb="FF000000"/>
            <rFont val="Calibri"/>
            <family val="2"/>
          </rPr>
          <t xml:space="preserve">	-tc={FF30B45A-8559-294B-B892-80FF94F77125}</t>
        </r>
      </text>
    </comment>
    <comment ref="L27" authorId="0" shapeId="0" xr:uid="{00000000-0006-0000-0000-000003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Considering all cells (not only gated)
</t>
        </r>
        <r>
          <rPr>
            <sz val="11"/>
            <color rgb="FF000000"/>
            <rFont val="Calibri"/>
            <family val="2"/>
          </rPr>
          <t xml:space="preserve">	-tc={FF30B45A-8559-294B-B892-80FF94F77125}</t>
        </r>
      </text>
    </comment>
    <comment ref="M27" authorId="0" shapeId="0" xr:uid="{00000000-0006-0000-0000-000004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Assumed growth rate
</t>
        </r>
        <r>
          <rPr>
            <sz val="11"/>
            <color rgb="FF000000"/>
            <rFont val="Calibri"/>
            <family val="2"/>
          </rPr>
          <t xml:space="preserve">	-tc={E3EE44E5-1C68-404B-81D1-1E2BAE610036}</t>
        </r>
      </text>
    </comment>
    <comment ref="L34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Considering all cells (not only gated)
	-tc={FF30B45A-8559-294B-B892-80FF94F77125}</t>
        </r>
      </text>
    </comment>
    <comment ref="M41" authorId="0" shapeId="0" xr:uid="{00000000-0006-0000-0000-000006000000}">
      <text>
        <r>
          <rPr>
            <sz val="11"/>
            <color rgb="FF000000"/>
            <rFont val="Calibri"/>
            <family val="2"/>
          </rPr>
          <t xml:space="preserve">[Threaded comment]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Your version of Excel allows you to read this threaded comment; however, any edits to it will get removed if the file is opened in a newer version of Excel. Learn more: https://go.microsoft.com/fwlink/?linkid=870924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Comment:
</t>
        </r>
        <r>
          <rPr>
            <sz val="11"/>
            <color rgb="FF000000"/>
            <rFont val="Calibri"/>
            <family val="2"/>
          </rPr>
          <t xml:space="preserve">    Assumed growth rate
</t>
        </r>
        <r>
          <rPr>
            <sz val="11"/>
            <color rgb="FF000000"/>
            <rFont val="Calibri"/>
            <family val="2"/>
          </rPr>
          <t xml:space="preserve">	-tc={E3EE44E5-1C68-404B-81D1-1E2BAE610036}</t>
        </r>
      </text>
    </comment>
    <comment ref="L9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Considering all cells (not only gated)
	-tc={FF30B45A-8559-294B-B892-80FF94F77125}</t>
        </r>
      </text>
    </comment>
    <comment ref="L10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Considering all cells (not only gated)
	-tc={FF30B45A-8559-294B-B892-80FF94F77125}</t>
        </r>
      </text>
    </comment>
  </commentList>
</comments>
</file>

<file path=xl/sharedStrings.xml><?xml version="1.0" encoding="utf-8"?>
<sst xmlns="http://schemas.openxmlformats.org/spreadsheetml/2006/main" count="164" uniqueCount="82">
  <si>
    <t>Settings for Flow cytometer measurements:</t>
  </si>
  <si>
    <t>uL/min</t>
  </si>
  <si>
    <t>uL</t>
  </si>
  <si>
    <t>um</t>
  </si>
  <si>
    <t>P4</t>
  </si>
  <si>
    <t>all</t>
  </si>
  <si>
    <t>%</t>
  </si>
  <si>
    <t>desired in next measurement</t>
  </si>
  <si>
    <t xml:space="preserve">needed </t>
  </si>
  <si>
    <t>total volume culture</t>
  </si>
  <si>
    <t>inoculum needed</t>
  </si>
  <si>
    <t>Timepoint</t>
  </si>
  <si>
    <t>Time (dd/mm/yyy hh:mm)</t>
  </si>
  <si>
    <t>Sample (well hhmm name DF)</t>
  </si>
  <si>
    <t>Count</t>
  </si>
  <si>
    <t>DF</t>
  </si>
  <si>
    <t>cells/mL</t>
  </si>
  <si>
    <t>Notes</t>
  </si>
  <si>
    <t>μ [h^-1]</t>
  </si>
  <si>
    <t>Δt to next [h]</t>
  </si>
  <si>
    <t>Xf [Z/mL]</t>
  </si>
  <si>
    <t>Xo[Z/mL]</t>
  </si>
  <si>
    <t>Vf [mL]</t>
  </si>
  <si>
    <t>Vinoc [mL]</t>
  </si>
  <si>
    <t>Vinoc [uL]</t>
  </si>
  <si>
    <t>--</t>
  </si>
  <si>
    <r>
      <rPr>
        <sz val="11"/>
        <color theme="1"/>
        <rFont val="Calibri"/>
        <family val="2"/>
      </rPr>
      <t xml:space="preserve">threshold at </t>
    </r>
    <r>
      <rPr>
        <b/>
        <u/>
        <sz val="11"/>
        <color theme="1"/>
        <rFont val="Calibri"/>
        <family val="2"/>
      </rPr>
      <t>4000</t>
    </r>
  </si>
  <si>
    <t>Day 1 (morning)</t>
  </si>
  <si>
    <t>after dilution</t>
  </si>
  <si>
    <t>Day 2 (morning)</t>
  </si>
  <si>
    <t>µ</t>
  </si>
  <si>
    <t>Day 1 (afternoon)</t>
  </si>
  <si>
    <t>threshhold counts</t>
  </si>
  <si>
    <t>assumed growth rates for E. coli</t>
  </si>
  <si>
    <t>Strain</t>
  </si>
  <si>
    <t>C-source</t>
  </si>
  <si>
    <t>concentration</t>
  </si>
  <si>
    <t>Temperature</t>
  </si>
  <si>
    <t>WT</t>
  </si>
  <si>
    <t>Glucose</t>
  </si>
  <si>
    <t>37 ˚C</t>
  </si>
  <si>
    <t>∆ptsG</t>
  </si>
  <si>
    <t>Mannose</t>
  </si>
  <si>
    <t>30 ˚C</t>
  </si>
  <si>
    <t>Day -0 Inoculation</t>
  </si>
  <si>
    <t>GWT</t>
  </si>
  <si>
    <t>GKO</t>
  </si>
  <si>
    <t>MWT</t>
  </si>
  <si>
    <t>MKO</t>
  </si>
  <si>
    <t>Plot 1 (FSC-A/SSC-A)</t>
  </si>
  <si>
    <t>P2</t>
  </si>
  <si>
    <t>All</t>
  </si>
  <si>
    <t>A09 0930 GWT 1000</t>
  </si>
  <si>
    <t>B09 0930 GKO 1000</t>
  </si>
  <si>
    <t>C09 0930 MWT 1000</t>
  </si>
  <si>
    <t>D09 0930 MKO 1000</t>
  </si>
  <si>
    <t>C10 1025 MWT 10</t>
  </si>
  <si>
    <t>D10 1025 MKO 10</t>
  </si>
  <si>
    <t>A10 1025 GWT 10</t>
  </si>
  <si>
    <t>B10 1025 GKO 10</t>
  </si>
  <si>
    <t>F08 1530 GKO 100</t>
  </si>
  <si>
    <t>E08 1530 GWT 100</t>
  </si>
  <si>
    <t>G08 1530 MWT 100</t>
  </si>
  <si>
    <t>H08 1530 MKO 100</t>
  </si>
  <si>
    <t>C11 1630 MWT 1</t>
  </si>
  <si>
    <t>A11 1630 GWT 1</t>
  </si>
  <si>
    <t>B11 1630 GKO 1</t>
  </si>
  <si>
    <t>D11 1630 MKO 1</t>
  </si>
  <si>
    <t>H12 0920 MKO 1000</t>
  </si>
  <si>
    <t>E12 0920 GWT 1000</t>
  </si>
  <si>
    <t>G11 0920 MWT 100</t>
  </si>
  <si>
    <t>F11 0920 GKO 100</t>
  </si>
  <si>
    <t>E. coli BW25113 + pAR305</t>
  </si>
  <si>
    <t>Medium</t>
  </si>
  <si>
    <t>E. coli BW25113 ΔptsG + pAR305</t>
  </si>
  <si>
    <t>M9 + 5 g/L Glucose + 5 mg/L Kan</t>
  </si>
  <si>
    <t>M9 + 5 g/L Mannose + 5 mg/L Kan</t>
  </si>
  <si>
    <t>Condition name</t>
  </si>
  <si>
    <t>RED ENTRIES WERE MIXED UP</t>
  </si>
  <si>
    <t>Experiment by:</t>
  </si>
  <si>
    <t>Eduard Mrug</t>
  </si>
  <si>
    <t>Antonia Schneider (supervisor)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</si>
</sst>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2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A5A5A5"/>
      <name val="Calibri"/>
      <family val="2"/>
    </font>
    <font>
      <sz val="11"/>
      <name val="Calibri"/>
      <family val="2"/>
    </font>
    <font>
      <b/>
      <sz val="11"/>
      <color rgb="FFA5A5A5"/>
      <name val="Calibri"/>
      <family val="2"/>
    </font>
    <font>
      <sz val="11"/>
      <color theme="0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 (Body)"/>
    </font>
    <font>
      <b/>
      <sz val="11"/>
      <color theme="1"/>
      <name val="Calibri (Body)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Calibri (Body)"/>
    </font>
  </fonts>
  <fills count="9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D8D8D8"/>
        <bgColor rgb="FFD8D8D8"/>
      </patternFill>
    </fill>
    <fill>
      <patternFill patternType="solid">
        <fgColor rgb="FF3F3F3F"/>
        <bgColor rgb="FF3F3F3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5" fillId="0" borderId="6"/>
    <xf numFmtId="0" fontId="13" fillId="0" borderId="6"/>
    <xf numFmtId="0" fontId="13" fillId="0" borderId="6"/>
    <xf numFmtId="0" fontId="13" fillId="0" borderId="6"/>
    <xf numFmtId="0" fontId="13" fillId="0" borderId="6"/>
    <xf numFmtId="0" fontId="13" fillId="0" borderId="6"/>
    <xf numFmtId="0" fontId="13" fillId="0" borderId="6"/>
    <xf numFmtId="0" fontId="13" fillId="0" borderId="6"/>
    <xf numFmtId="0" fontId="13" fillId="0" borderId="6"/>
  </cellStyleXfs>
  <cellXfs count="90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2" xfId="0" applyFont="1" applyBorder="1"/>
    <xf numFmtId="0" fontId="2" fillId="3" borderId="3" xfId="0" applyFont="1" applyFill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/>
    </xf>
    <xf numFmtId="0" fontId="2" fillId="3" borderId="3" xfId="0" quotePrefix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1" fontId="4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1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1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165" fontId="9" fillId="5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1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 vertical="center"/>
    </xf>
    <xf numFmtId="11" fontId="2" fillId="6" borderId="1" xfId="0" applyNumberFormat="1" applyFont="1" applyFill="1" applyBorder="1" applyAlignment="1">
      <alignment horizontal="center" vertical="center"/>
    </xf>
    <xf numFmtId="9" fontId="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22" fontId="2" fillId="3" borderId="4" xfId="0" applyNumberFormat="1" applyFont="1" applyFill="1" applyBorder="1" applyAlignment="1">
      <alignment horizontal="center" vertical="center"/>
    </xf>
    <xf numFmtId="3" fontId="2" fillId="4" borderId="5" xfId="0" applyNumberFormat="1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11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165" fontId="4" fillId="4" borderId="0" xfId="0" applyNumberFormat="1" applyFont="1" applyFill="1" applyAlignment="1">
      <alignment horizontal="center" vertical="center"/>
    </xf>
    <xf numFmtId="11" fontId="4" fillId="4" borderId="0" xfId="0" applyNumberFormat="1" applyFont="1" applyFill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10" fillId="0" borderId="0" xfId="0" applyFont="1"/>
    <xf numFmtId="3" fontId="0" fillId="0" borderId="0" xfId="0" applyNumberFormat="1"/>
    <xf numFmtId="20" fontId="2" fillId="0" borderId="0" xfId="0" applyNumberFormat="1" applyFont="1" applyAlignment="1">
      <alignment horizontal="center" vertical="center"/>
    </xf>
    <xf numFmtId="16" fontId="0" fillId="0" borderId="0" xfId="0" applyNumberFormat="1"/>
    <xf numFmtId="11" fontId="14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15" fillId="0" borderId="6" xfId="1"/>
    <xf numFmtId="3" fontId="15" fillId="0" borderId="6" xfId="1" applyNumberFormat="1"/>
    <xf numFmtId="0" fontId="13" fillId="0" borderId="6" xfId="2"/>
    <xf numFmtId="3" fontId="2" fillId="0" borderId="6" xfId="2" applyNumberFormat="1" applyFont="1" applyAlignment="1">
      <alignment horizontal="center" vertical="center"/>
    </xf>
    <xf numFmtId="3" fontId="13" fillId="0" borderId="6" xfId="2" applyNumberFormat="1"/>
    <xf numFmtId="20" fontId="0" fillId="0" borderId="0" xfId="0" applyNumberFormat="1"/>
    <xf numFmtId="0" fontId="1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10" fontId="0" fillId="0" borderId="0" xfId="0" applyNumberFormat="1"/>
    <xf numFmtId="0" fontId="19" fillId="0" borderId="0" xfId="0" applyFont="1"/>
    <xf numFmtId="0" fontId="20" fillId="0" borderId="0" xfId="0" applyFont="1"/>
    <xf numFmtId="3" fontId="20" fillId="0" borderId="0" xfId="0" applyNumberFormat="1" applyFont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0" fillId="0" borderId="8" xfId="0" applyBorder="1"/>
    <xf numFmtId="0" fontId="21" fillId="0" borderId="6" xfId="0" applyFont="1" applyBorder="1"/>
    <xf numFmtId="0" fontId="16" fillId="0" borderId="0" xfId="0" applyFont="1" applyAlignment="1">
      <alignment horizontal="center" vertical="center" wrapText="1"/>
    </xf>
    <xf numFmtId="0" fontId="16" fillId="0" borderId="0" xfId="0" applyFont="1"/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1" fillId="8" borderId="0" xfId="0" applyFont="1" applyFill="1"/>
  </cellXfs>
  <cellStyles count="10">
    <cellStyle name="Normal" xfId="0" builtinId="0"/>
    <cellStyle name="Normal 10" xfId="9" xr:uid="{00000000-0005-0000-0000-000001000000}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  <cellStyle name="Normal 6" xfId="5" xr:uid="{00000000-0005-0000-0000-000006000000}"/>
    <cellStyle name="Normal 7" xfId="6" xr:uid="{00000000-0005-0000-0000-000007000000}"/>
    <cellStyle name="Normal 8" xfId="7" xr:uid="{00000000-0005-0000-0000-000008000000}"/>
    <cellStyle name="Normal 9" xfId="8" xr:uid="{00000000-0005-0000-0000-000009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5"/>
  <sheetViews>
    <sheetView tabSelected="1" zoomScale="102" zoomScaleNormal="76" workbookViewId="0">
      <selection activeCell="C4" sqref="C4"/>
    </sheetView>
  </sheetViews>
  <sheetFormatPr baseColWidth="10" defaultColWidth="14.5" defaultRowHeight="15" customHeight="1" x14ac:dyDescent="0.2"/>
  <cols>
    <col min="1" max="1" width="32.83203125" customWidth="1"/>
    <col min="2" max="2" width="24.5" customWidth="1"/>
    <col min="3" max="3" width="35.1640625" customWidth="1"/>
    <col min="4" max="5" width="26.1640625" bestFit="1" customWidth="1"/>
    <col min="6" max="6" width="20.1640625" customWidth="1"/>
    <col min="7" max="7" width="16.5" customWidth="1"/>
    <col min="8" max="8" width="13.1640625" customWidth="1"/>
    <col min="9" max="9" width="10.83203125" customWidth="1"/>
    <col min="10" max="10" width="17.5" customWidth="1"/>
    <col min="11" max="11" width="11.1640625" customWidth="1"/>
    <col min="12" max="12" width="17.5" customWidth="1"/>
    <col min="13" max="13" width="12.5" customWidth="1"/>
    <col min="14" max="14" width="18.1640625" customWidth="1"/>
    <col min="15" max="15" width="18.5" customWidth="1"/>
    <col min="16" max="16" width="13.1640625" customWidth="1"/>
    <col min="17" max="17" width="16.5" customWidth="1"/>
    <col min="18" max="18" width="17.5" customWidth="1"/>
    <col min="19" max="19" width="15.5" customWidth="1"/>
    <col min="20" max="20" width="8.83203125" customWidth="1"/>
    <col min="21" max="21" width="16.5" customWidth="1"/>
    <col min="22" max="22" width="13.83203125" customWidth="1"/>
    <col min="23" max="27" width="8.83203125" customWidth="1"/>
  </cols>
  <sheetData>
    <row r="1" spans="1:27" ht="15" customHeight="1" x14ac:dyDescent="0.2">
      <c r="A1" s="89" t="s">
        <v>79</v>
      </c>
      <c r="B1" s="89" t="s">
        <v>80</v>
      </c>
      <c r="C1" s="89" t="s">
        <v>81</v>
      </c>
    </row>
    <row r="3" spans="1:27" ht="41" customHeight="1" x14ac:dyDescent="0.2">
      <c r="A3" s="81" t="s">
        <v>77</v>
      </c>
      <c r="B3" s="77" t="s">
        <v>45</v>
      </c>
      <c r="C3" s="77" t="s">
        <v>46</v>
      </c>
      <c r="D3" s="77" t="s">
        <v>47</v>
      </c>
      <c r="E3" s="78" t="s">
        <v>48</v>
      </c>
    </row>
    <row r="4" spans="1:27" ht="37" customHeight="1" x14ac:dyDescent="0.2">
      <c r="A4" s="81" t="s">
        <v>34</v>
      </c>
      <c r="B4" s="83" t="s">
        <v>72</v>
      </c>
      <c r="C4" s="77" t="s">
        <v>74</v>
      </c>
      <c r="D4" s="83" t="s">
        <v>72</v>
      </c>
      <c r="E4" s="78" t="s">
        <v>74</v>
      </c>
    </row>
    <row r="5" spans="1:27" ht="50" customHeight="1" x14ac:dyDescent="0.2">
      <c r="A5" s="82" t="s">
        <v>73</v>
      </c>
      <c r="B5" s="79" t="s">
        <v>75</v>
      </c>
      <c r="C5" s="79" t="s">
        <v>75</v>
      </c>
      <c r="D5" s="79" t="s">
        <v>76</v>
      </c>
      <c r="E5" s="80" t="s">
        <v>76</v>
      </c>
    </row>
    <row r="6" spans="1:27" x14ac:dyDescent="0.2"/>
    <row r="7" spans="1:27" x14ac:dyDescent="0.2"/>
    <row r="8" spans="1:27" ht="32" x14ac:dyDescent="0.2">
      <c r="A8" s="1" t="s">
        <v>0</v>
      </c>
      <c r="B8" s="2">
        <v>35</v>
      </c>
      <c r="C8" s="2">
        <v>20</v>
      </c>
      <c r="D8" s="2">
        <v>16</v>
      </c>
      <c r="E8" s="3">
        <v>4000</v>
      </c>
      <c r="G8" s="70"/>
    </row>
    <row r="9" spans="1:27" x14ac:dyDescent="0.2">
      <c r="B9" s="3" t="s">
        <v>1</v>
      </c>
      <c r="C9" s="3" t="s">
        <v>2</v>
      </c>
      <c r="D9" s="3" t="s">
        <v>3</v>
      </c>
      <c r="E9" s="3" t="s">
        <v>32</v>
      </c>
      <c r="G9" s="3"/>
      <c r="M9" s="2"/>
      <c r="N9" s="2"/>
      <c r="O9" s="2"/>
      <c r="P9" s="2"/>
      <c r="Q9" s="3"/>
      <c r="R9" s="3"/>
    </row>
    <row r="10" spans="1:27" x14ac:dyDescent="0.2">
      <c r="M10" s="3"/>
      <c r="N10" s="3"/>
      <c r="O10" s="3"/>
      <c r="P10" s="3"/>
      <c r="Q10" s="3"/>
      <c r="R10" s="3"/>
    </row>
    <row r="11" spans="1:27" ht="32" x14ac:dyDescent="0.2">
      <c r="D11" s="4" t="s">
        <v>4</v>
      </c>
      <c r="E11" s="4" t="s">
        <v>5</v>
      </c>
      <c r="G11" s="4" t="s">
        <v>4</v>
      </c>
      <c r="H11" s="4" t="s">
        <v>5</v>
      </c>
      <c r="I11" s="4" t="s">
        <v>6</v>
      </c>
      <c r="M11" s="3"/>
      <c r="N11" s="3"/>
      <c r="O11" s="1" t="s">
        <v>7</v>
      </c>
      <c r="P11" s="71" t="s">
        <v>8</v>
      </c>
      <c r="Q11" s="71" t="s">
        <v>9</v>
      </c>
      <c r="R11" s="85" t="s">
        <v>10</v>
      </c>
      <c r="S11" s="86"/>
      <c r="T11" s="6"/>
    </row>
    <row r="12" spans="1:27" x14ac:dyDescent="0.2">
      <c r="A12" s="2" t="s">
        <v>11</v>
      </c>
      <c r="B12" s="7" t="s">
        <v>12</v>
      </c>
      <c r="C12" s="8" t="s">
        <v>13</v>
      </c>
      <c r="D12" s="87" t="s">
        <v>14</v>
      </c>
      <c r="E12" s="87"/>
      <c r="F12" s="9" t="s">
        <v>15</v>
      </c>
      <c r="G12" s="87" t="s">
        <v>16</v>
      </c>
      <c r="H12" s="87"/>
      <c r="I12" s="9"/>
      <c r="J12" s="2" t="s">
        <v>17</v>
      </c>
      <c r="K12" s="88" t="s">
        <v>18</v>
      </c>
      <c r="L12" s="88"/>
      <c r="M12" s="88"/>
      <c r="N12" s="7" t="s">
        <v>19</v>
      </c>
      <c r="O12" s="7" t="s">
        <v>20</v>
      </c>
      <c r="P12" s="72" t="s">
        <v>21</v>
      </c>
      <c r="Q12" s="72" t="s">
        <v>22</v>
      </c>
      <c r="R12" s="72" t="s">
        <v>23</v>
      </c>
      <c r="S12" s="72" t="s">
        <v>24</v>
      </c>
      <c r="T12" s="10"/>
    </row>
    <row r="13" spans="1:27" x14ac:dyDescent="0.2">
      <c r="A13" s="11" t="s">
        <v>44</v>
      </c>
      <c r="B13" s="12"/>
      <c r="C13" s="11"/>
      <c r="D13" s="11"/>
      <c r="E13" s="11"/>
      <c r="F13" s="13" t="s">
        <v>25</v>
      </c>
      <c r="G13" s="13" t="s">
        <v>25</v>
      </c>
      <c r="H13" s="11"/>
      <c r="I13" s="11"/>
      <c r="J13" s="14" t="s">
        <v>26</v>
      </c>
      <c r="K13" s="13" t="s">
        <v>25</v>
      </c>
      <c r="L13" s="13" t="s">
        <v>25</v>
      </c>
      <c r="M13" s="15" t="s">
        <v>25</v>
      </c>
      <c r="N13" s="16"/>
      <c r="O13" s="17"/>
      <c r="P13" s="17"/>
      <c r="Q13" s="5"/>
      <c r="R13" s="18"/>
      <c r="S13" s="5"/>
      <c r="T13" s="5"/>
      <c r="U13" s="3"/>
      <c r="V13" s="3"/>
      <c r="W13" s="3"/>
      <c r="X13" s="3"/>
      <c r="Y13" s="3"/>
      <c r="Z13" s="3"/>
      <c r="AA13" s="3"/>
    </row>
    <row r="14" spans="1:27" x14ac:dyDescent="0.2">
      <c r="A14" s="19" t="s">
        <v>27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/>
      <c r="O14" s="22"/>
      <c r="P14" s="22"/>
      <c r="Q14" s="23"/>
      <c r="R14" s="24"/>
      <c r="S14" s="23"/>
      <c r="T14" s="23"/>
      <c r="U14" s="3"/>
      <c r="V14" s="3"/>
      <c r="W14" s="3"/>
      <c r="X14" s="3"/>
      <c r="Y14" s="3"/>
      <c r="Z14" s="3"/>
      <c r="AA14" s="3"/>
    </row>
    <row r="15" spans="1:27" x14ac:dyDescent="0.2">
      <c r="A15" s="25" t="s">
        <v>45</v>
      </c>
      <c r="B15" s="12">
        <v>45866.395833333336</v>
      </c>
      <c r="C15" t="s">
        <v>52</v>
      </c>
      <c r="D15" s="59">
        <v>39248</v>
      </c>
      <c r="E15" s="59">
        <v>45735</v>
      </c>
      <c r="F15" s="25">
        <v>1000</v>
      </c>
      <c r="G15" s="27">
        <f>(D15*F15/$C$8)*1000</f>
        <v>1962400000</v>
      </c>
      <c r="H15" s="27">
        <f>(E15*F15/$C$8)*1000</f>
        <v>2286750000</v>
      </c>
      <c r="I15" s="28">
        <f t="shared" ref="I15:I18" si="0">G15/H15</f>
        <v>0.85816114573084068</v>
      </c>
      <c r="J15" s="29"/>
      <c r="K15" s="25"/>
      <c r="L15" s="30"/>
      <c r="M15" s="30">
        <v>0.5</v>
      </c>
      <c r="N15" s="31">
        <v>5</v>
      </c>
      <c r="O15" s="17">
        <v>150000000</v>
      </c>
      <c r="P15" s="17">
        <f>O15/(EXP(N15*M15))</f>
        <v>12312749.79358482</v>
      </c>
      <c r="Q15" s="32">
        <v>10</v>
      </c>
      <c r="R15" s="33">
        <f t="shared" ref="R15:R18" si="1">P15*Q15/(H15)</f>
        <v>5.3843882337749296E-2</v>
      </c>
      <c r="S15" s="34">
        <f t="shared" ref="S15:S18" si="2">R15*1000</f>
        <v>53.843882337749299</v>
      </c>
      <c r="T15" s="5"/>
      <c r="U15" s="25" t="str">
        <f>A15</f>
        <v>GWT</v>
      </c>
      <c r="V15" s="3"/>
      <c r="W15" s="3"/>
      <c r="X15" s="3"/>
      <c r="Y15" s="3"/>
      <c r="Z15" s="3"/>
      <c r="AA15" s="3"/>
    </row>
    <row r="16" spans="1:27" x14ac:dyDescent="0.2">
      <c r="A16" s="25" t="s">
        <v>46</v>
      </c>
      <c r="B16" s="12"/>
      <c r="C16" t="s">
        <v>53</v>
      </c>
      <c r="D16" s="59">
        <v>53292</v>
      </c>
      <c r="E16" s="59">
        <v>65914</v>
      </c>
      <c r="F16" s="25">
        <v>1000</v>
      </c>
      <c r="G16" s="27">
        <f>(D16*F16/$C$8)*1000</f>
        <v>2664600000</v>
      </c>
      <c r="H16" s="27">
        <f>(E16*F16/$C$8)*1000</f>
        <v>3295700000</v>
      </c>
      <c r="I16" s="28">
        <f t="shared" si="0"/>
        <v>0.80850805595169462</v>
      </c>
      <c r="J16" s="29"/>
      <c r="K16" s="25"/>
      <c r="L16" s="30"/>
      <c r="M16" s="30">
        <v>0.3</v>
      </c>
      <c r="N16" s="31">
        <v>5</v>
      </c>
      <c r="O16" s="17">
        <v>150000000</v>
      </c>
      <c r="P16" s="17">
        <f t="shared" ref="P16:P18" si="3">O16/(EXP(N16*M16))</f>
        <v>33469524.022264477</v>
      </c>
      <c r="Q16" s="32">
        <v>10</v>
      </c>
      <c r="R16" s="33">
        <f t="shared" si="1"/>
        <v>0.1015551294786069</v>
      </c>
      <c r="S16" s="34">
        <f t="shared" si="2"/>
        <v>101.5551294786069</v>
      </c>
      <c r="T16" s="5"/>
      <c r="U16" s="25" t="str">
        <f t="shared" ref="U16:U18" si="4">A16</f>
        <v>GKO</v>
      </c>
      <c r="V16" s="3"/>
      <c r="W16" s="3"/>
      <c r="X16" s="3"/>
      <c r="Y16" s="3"/>
      <c r="Z16" s="3"/>
      <c r="AA16" s="3"/>
    </row>
    <row r="17" spans="1:27" x14ac:dyDescent="0.2">
      <c r="A17" s="25" t="s">
        <v>47</v>
      </c>
      <c r="B17" s="12"/>
      <c r="C17" t="s">
        <v>54</v>
      </c>
      <c r="D17" s="59">
        <v>70264</v>
      </c>
      <c r="E17" s="59">
        <v>84619</v>
      </c>
      <c r="F17" s="25">
        <v>1000</v>
      </c>
      <c r="G17" s="27">
        <f>(D17*F17/$C$8)*1000</f>
        <v>3513200000</v>
      </c>
      <c r="H17" s="27">
        <f>(E17*F17/$C$8)*1000</f>
        <v>4230950000</v>
      </c>
      <c r="I17" s="28">
        <f t="shared" si="0"/>
        <v>0.830357248372115</v>
      </c>
      <c r="J17" s="29"/>
      <c r="K17" s="25"/>
      <c r="L17" s="30"/>
      <c r="M17" s="30">
        <v>0.45</v>
      </c>
      <c r="N17" s="31">
        <v>5</v>
      </c>
      <c r="O17" s="17">
        <v>150000000</v>
      </c>
      <c r="P17" s="17">
        <f>O17/(EXP(N17*M17))</f>
        <v>15809883.68427965</v>
      </c>
      <c r="Q17" s="32">
        <v>10</v>
      </c>
      <c r="R17" s="33">
        <f t="shared" si="1"/>
        <v>3.7367219381651051E-2</v>
      </c>
      <c r="S17" s="34">
        <f t="shared" si="2"/>
        <v>37.367219381651054</v>
      </c>
      <c r="T17" s="5"/>
      <c r="U17" s="25" t="str">
        <f t="shared" si="4"/>
        <v>MWT</v>
      </c>
      <c r="V17" s="3"/>
      <c r="W17" s="3"/>
      <c r="X17" s="3"/>
      <c r="Y17" s="3"/>
      <c r="Z17" s="3"/>
      <c r="AA17" s="3"/>
    </row>
    <row r="18" spans="1:27" x14ac:dyDescent="0.2">
      <c r="A18" s="25" t="s">
        <v>48</v>
      </c>
      <c r="B18" s="12"/>
      <c r="C18" t="s">
        <v>55</v>
      </c>
      <c r="D18" s="59">
        <v>73531</v>
      </c>
      <c r="E18" s="59">
        <v>89195</v>
      </c>
      <c r="F18" s="25">
        <v>1000</v>
      </c>
      <c r="G18" s="27">
        <f>(D18*F18/$C$8)*1000</f>
        <v>3676550000</v>
      </c>
      <c r="H18" s="27">
        <f>(E18*F18/$C$8)*1000</f>
        <v>4459750000</v>
      </c>
      <c r="I18" s="28">
        <f t="shared" si="0"/>
        <v>0.82438477493133022</v>
      </c>
      <c r="J18" s="29"/>
      <c r="K18" s="25"/>
      <c r="L18" s="30"/>
      <c r="M18" s="30">
        <v>0.3</v>
      </c>
      <c r="N18" s="31">
        <v>5</v>
      </c>
      <c r="O18" s="17">
        <v>150000000</v>
      </c>
      <c r="P18" s="17">
        <f t="shared" si="3"/>
        <v>33469524.022264477</v>
      </c>
      <c r="Q18" s="32">
        <v>10</v>
      </c>
      <c r="R18" s="33">
        <f t="shared" si="1"/>
        <v>7.5047982560153534E-2</v>
      </c>
      <c r="S18" s="34">
        <f t="shared" si="2"/>
        <v>75.047982560153528</v>
      </c>
      <c r="T18" s="5"/>
      <c r="U18" s="25" t="str">
        <f t="shared" si="4"/>
        <v>MKO</v>
      </c>
      <c r="V18" s="3"/>
      <c r="W18" s="3"/>
      <c r="X18" s="3"/>
      <c r="Y18" s="3"/>
      <c r="Z18" s="3"/>
      <c r="AA18" s="3"/>
    </row>
    <row r="19" spans="1:27" x14ac:dyDescent="0.2"/>
    <row r="20" spans="1:27" x14ac:dyDescent="0.2">
      <c r="A20" s="2" t="s">
        <v>28</v>
      </c>
    </row>
    <row r="21" spans="1:27" x14ac:dyDescent="0.2">
      <c r="A21" s="25" t="s">
        <v>45</v>
      </c>
      <c r="B21" s="12">
        <v>45866.434027777781</v>
      </c>
      <c r="C21" t="s">
        <v>58</v>
      </c>
      <c r="D21" s="59">
        <v>17566</v>
      </c>
      <c r="E21" s="59">
        <v>19749</v>
      </c>
      <c r="F21" s="25">
        <v>10</v>
      </c>
      <c r="G21" s="27">
        <f>(D21*F21/$C$8)*1000</f>
        <v>8783000</v>
      </c>
      <c r="H21" s="27">
        <f>(E21*F21/$C$8)*1000</f>
        <v>9874500</v>
      </c>
      <c r="I21" s="28">
        <f t="shared" ref="I21:I24" si="5">G21/H21</f>
        <v>0.8894627576079801</v>
      </c>
      <c r="J21" s="29"/>
      <c r="K21" s="30"/>
      <c r="L21" s="39"/>
      <c r="M21" s="30"/>
      <c r="N21" s="31"/>
      <c r="O21" s="17"/>
      <c r="P21" s="17"/>
      <c r="Q21" s="32"/>
      <c r="R21" s="33"/>
      <c r="S21" s="35"/>
      <c r="T21" s="5"/>
      <c r="V21" s="3"/>
      <c r="W21" s="3"/>
      <c r="X21" s="3"/>
      <c r="Y21" s="3"/>
      <c r="Z21" s="3"/>
      <c r="AA21" s="3"/>
    </row>
    <row r="22" spans="1:27" x14ac:dyDescent="0.2">
      <c r="A22" s="25" t="s">
        <v>46</v>
      </c>
      <c r="B22" s="12"/>
      <c r="C22" t="s">
        <v>59</v>
      </c>
      <c r="D22" s="59">
        <v>39970</v>
      </c>
      <c r="E22" s="59">
        <v>47794</v>
      </c>
      <c r="F22" s="25">
        <v>10</v>
      </c>
      <c r="G22" s="27">
        <f>(D22*F22/$C$8)*1000</f>
        <v>19985000</v>
      </c>
      <c r="H22" s="27">
        <f>(E22*F22/$C$8)*1000</f>
        <v>23897000</v>
      </c>
      <c r="I22" s="28">
        <f t="shared" si="5"/>
        <v>0.83629744319370636</v>
      </c>
      <c r="J22" s="29"/>
      <c r="K22" s="30"/>
      <c r="L22" s="39"/>
      <c r="M22" s="30"/>
      <c r="N22" s="31"/>
      <c r="O22" s="17"/>
      <c r="P22" s="17"/>
      <c r="Q22" s="32"/>
      <c r="R22" s="33"/>
      <c r="S22" s="35"/>
      <c r="T22" s="5"/>
      <c r="V22" s="3"/>
      <c r="W22" s="3"/>
      <c r="X22" s="3"/>
      <c r="Y22" s="3"/>
      <c r="Z22" s="3"/>
      <c r="AA22" s="3"/>
    </row>
    <row r="23" spans="1:27" x14ac:dyDescent="0.2">
      <c r="A23" s="25" t="s">
        <v>47</v>
      </c>
      <c r="B23" s="12"/>
      <c r="C23" t="s">
        <v>56</v>
      </c>
      <c r="D23" s="59">
        <v>18348</v>
      </c>
      <c r="E23" s="59">
        <v>20999</v>
      </c>
      <c r="F23" s="25">
        <v>10</v>
      </c>
      <c r="G23" s="27">
        <f>(D23*F23/$C$8)*1000</f>
        <v>9174000</v>
      </c>
      <c r="H23" s="27">
        <f>(E23*F23/$C$8)*1000</f>
        <v>10499500</v>
      </c>
      <c r="I23" s="28">
        <f t="shared" si="5"/>
        <v>0.87375589313776847</v>
      </c>
      <c r="J23" s="29"/>
      <c r="K23" s="30"/>
      <c r="L23" s="39"/>
      <c r="M23" s="30"/>
      <c r="N23" s="31"/>
      <c r="O23" s="17"/>
      <c r="P23" s="17"/>
      <c r="Q23" s="32"/>
      <c r="R23" s="33"/>
      <c r="S23" s="35"/>
      <c r="T23" s="5"/>
      <c r="V23" s="3"/>
      <c r="W23" s="3"/>
      <c r="X23" s="3"/>
      <c r="Y23" s="3"/>
      <c r="Z23" s="3"/>
      <c r="AA23" s="3"/>
    </row>
    <row r="24" spans="1:27" x14ac:dyDescent="0.2">
      <c r="A24" s="25" t="s">
        <v>48</v>
      </c>
      <c r="B24" s="12"/>
      <c r="C24" t="s">
        <v>57</v>
      </c>
      <c r="D24" s="59">
        <v>38571</v>
      </c>
      <c r="E24" s="59">
        <v>44647</v>
      </c>
      <c r="F24" s="25">
        <v>10</v>
      </c>
      <c r="G24" s="27">
        <f>(D24*F24/$C$8)*1000</f>
        <v>19285500</v>
      </c>
      <c r="H24" s="27">
        <f>(E24*F24/$C$8)*1000</f>
        <v>22323500</v>
      </c>
      <c r="I24" s="28">
        <f t="shared" si="5"/>
        <v>0.86391022913073667</v>
      </c>
      <c r="J24" s="29"/>
      <c r="K24" s="30"/>
      <c r="L24" s="39"/>
      <c r="M24" s="30"/>
      <c r="N24" s="31"/>
      <c r="O24" s="17"/>
      <c r="P24" s="17"/>
      <c r="Q24" s="32"/>
      <c r="R24" s="33"/>
      <c r="S24" s="35"/>
      <c r="T24" s="5"/>
      <c r="V24" s="3"/>
      <c r="W24" s="3"/>
      <c r="X24" s="3"/>
      <c r="Y24" s="3"/>
      <c r="Z24" s="3"/>
      <c r="AA24" s="3"/>
    </row>
    <row r="25" spans="1:27" ht="15.75" customHeight="1" x14ac:dyDescent="0.2">
      <c r="G25" s="37"/>
      <c r="H25" s="38"/>
      <c r="L25" s="36"/>
      <c r="M25" s="36"/>
      <c r="N25" s="40"/>
      <c r="Q25" s="17"/>
      <c r="R25" s="17"/>
      <c r="S25" s="40"/>
      <c r="T25" s="5"/>
      <c r="V25" s="3"/>
      <c r="W25" s="3"/>
      <c r="X25" s="3"/>
      <c r="Y25" s="3"/>
      <c r="Z25" s="3"/>
      <c r="AA25" s="3"/>
    </row>
    <row r="26" spans="1:27" ht="15.75" customHeight="1" x14ac:dyDescent="0.2">
      <c r="A26" s="19" t="s">
        <v>31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/>
      <c r="O26" s="22"/>
      <c r="P26" s="22"/>
      <c r="Q26" s="23"/>
      <c r="R26" s="24"/>
      <c r="S26" s="23"/>
      <c r="T26" s="23"/>
      <c r="U26" s="3"/>
      <c r="V26" s="3"/>
      <c r="W26" s="3"/>
      <c r="X26" s="3"/>
      <c r="Y26" s="3"/>
      <c r="Z26" s="3"/>
      <c r="AA26" s="3"/>
    </row>
    <row r="27" spans="1:27" ht="15.75" customHeight="1" x14ac:dyDescent="0.2">
      <c r="A27" s="25" t="s">
        <v>45</v>
      </c>
      <c r="B27" s="12">
        <v>45866.642361111109</v>
      </c>
      <c r="C27" s="75" t="s">
        <v>60</v>
      </c>
      <c r="D27" s="76">
        <v>10963</v>
      </c>
      <c r="E27" s="76">
        <v>13285</v>
      </c>
      <c r="F27" s="25">
        <v>100</v>
      </c>
      <c r="G27" s="27">
        <f>(D27*F27/$C$8)*1000</f>
        <v>54815000</v>
      </c>
      <c r="H27" s="27">
        <f>(E27*F27/$C$8)*1000</f>
        <v>66425000</v>
      </c>
      <c r="I27" s="28">
        <f t="shared" ref="I27:I30" si="6">G27/H27</f>
        <v>0.82521640948438091</v>
      </c>
      <c r="J27" s="29"/>
      <c r="K27" s="25"/>
      <c r="L27" s="39">
        <f>(LN(H27)-LN(H21))/(($B$27-$B$21)*24)</f>
        <v>0.38122356301927024</v>
      </c>
      <c r="M27" s="30">
        <v>0.5</v>
      </c>
      <c r="N27" s="31">
        <v>15</v>
      </c>
      <c r="O27" s="17">
        <v>150000000</v>
      </c>
      <c r="P27" s="17">
        <f t="shared" ref="P27:P29" si="7">O27/(EXP(N27*M27))</f>
        <v>82962.655522175046</v>
      </c>
      <c r="Q27" s="32">
        <v>10</v>
      </c>
      <c r="R27" s="33">
        <f t="shared" ref="R27:R30" si="8">P27*Q27/(H27)</f>
        <v>1.2489673394380887E-2</v>
      </c>
      <c r="S27" s="34">
        <f t="shared" ref="S27:S30" si="9">R27*1000</f>
        <v>12.489673394380887</v>
      </c>
      <c r="T27" s="5"/>
      <c r="U27" s="25" t="str">
        <f>A27</f>
        <v>GWT</v>
      </c>
      <c r="V27" s="3"/>
      <c r="W27" s="3"/>
      <c r="X27" s="3"/>
      <c r="Y27" s="3"/>
      <c r="Z27" s="3"/>
      <c r="AA27" s="3"/>
    </row>
    <row r="28" spans="1:27" ht="15.75" customHeight="1" x14ac:dyDescent="0.2">
      <c r="A28" s="25" t="s">
        <v>46</v>
      </c>
      <c r="B28" s="12"/>
      <c r="C28" s="75" t="s">
        <v>61</v>
      </c>
      <c r="D28" s="76">
        <v>15420</v>
      </c>
      <c r="E28" s="76">
        <v>16747</v>
      </c>
      <c r="F28" s="25">
        <v>100</v>
      </c>
      <c r="G28" s="27">
        <f>(D28*F28/$C$8)*1000</f>
        <v>77100000</v>
      </c>
      <c r="H28" s="27">
        <f>(E28*F28/$C$8)*1000</f>
        <v>83735000</v>
      </c>
      <c r="I28" s="28">
        <f t="shared" si="6"/>
        <v>0.92076192750940467</v>
      </c>
      <c r="J28" s="29"/>
      <c r="K28" s="25"/>
      <c r="L28" s="39">
        <f>(LN(H28)-LN(H22))/(($B$27-$B$21)*24)</f>
        <v>0.25078082443387939</v>
      </c>
      <c r="M28" s="30">
        <v>0.3</v>
      </c>
      <c r="N28" s="31">
        <v>15</v>
      </c>
      <c r="O28" s="17">
        <v>150000000</v>
      </c>
      <c r="P28" s="17">
        <f t="shared" si="7"/>
        <v>1666349.480736346</v>
      </c>
      <c r="Q28" s="32">
        <v>10</v>
      </c>
      <c r="R28" s="33">
        <f t="shared" si="8"/>
        <v>0.199002744460064</v>
      </c>
      <c r="S28" s="34">
        <f t="shared" si="9"/>
        <v>199.00274446006401</v>
      </c>
      <c r="T28" s="5"/>
      <c r="U28" s="25" t="str">
        <f t="shared" ref="U28:U30" si="10">A28</f>
        <v>GKO</v>
      </c>
      <c r="V28" s="3"/>
      <c r="W28" s="3"/>
      <c r="X28" s="3"/>
      <c r="Y28" s="3"/>
      <c r="Z28" s="3"/>
      <c r="AA28" s="3"/>
    </row>
    <row r="29" spans="1:27" ht="15.75" customHeight="1" x14ac:dyDescent="0.2">
      <c r="A29" s="25" t="s">
        <v>47</v>
      </c>
      <c r="B29" s="12"/>
      <c r="C29" t="s">
        <v>62</v>
      </c>
      <c r="D29" s="59">
        <v>14624</v>
      </c>
      <c r="E29" s="59">
        <v>15958</v>
      </c>
      <c r="F29" s="25">
        <v>100</v>
      </c>
      <c r="G29" s="27">
        <f>(D29*F29/$C$8)*1000</f>
        <v>73120000</v>
      </c>
      <c r="H29" s="27">
        <f>(E29*F29/$C$8)*1000</f>
        <v>79790000</v>
      </c>
      <c r="I29" s="28">
        <f t="shared" si="6"/>
        <v>0.91640556460709366</v>
      </c>
      <c r="J29" s="29"/>
      <c r="K29" s="25"/>
      <c r="L29" s="39">
        <f>(LN(H29)-LN(H23))/(($B$27-$B$21)*24)</f>
        <v>0.40561410927707525</v>
      </c>
      <c r="M29" s="30">
        <v>0.45</v>
      </c>
      <c r="N29" s="31">
        <v>15</v>
      </c>
      <c r="O29" s="17">
        <v>150000000</v>
      </c>
      <c r="P29" s="17">
        <f t="shared" si="7"/>
        <v>175631.94311867616</v>
      </c>
      <c r="Q29" s="32">
        <v>10</v>
      </c>
      <c r="R29" s="33">
        <f t="shared" si="8"/>
        <v>2.2011773796049152E-2</v>
      </c>
      <c r="S29" s="34">
        <f t="shared" si="9"/>
        <v>22.011773796049152</v>
      </c>
      <c r="T29" s="5"/>
      <c r="U29" s="25" t="str">
        <f t="shared" si="10"/>
        <v>MWT</v>
      </c>
      <c r="V29" s="3"/>
      <c r="W29" s="3"/>
      <c r="X29" s="3"/>
      <c r="Y29" s="3"/>
      <c r="Z29" s="3"/>
      <c r="AA29" s="3"/>
    </row>
    <row r="30" spans="1:27" ht="15.75" customHeight="1" x14ac:dyDescent="0.2">
      <c r="A30" s="25" t="s">
        <v>48</v>
      </c>
      <c r="B30" s="12"/>
      <c r="C30" t="s">
        <v>63</v>
      </c>
      <c r="D30" s="59">
        <v>12042</v>
      </c>
      <c r="E30" s="59">
        <v>14419</v>
      </c>
      <c r="F30" s="25">
        <v>100</v>
      </c>
      <c r="G30" s="27">
        <f>(D30*F30/$C$8)*1000</f>
        <v>60210000</v>
      </c>
      <c r="H30" s="27">
        <f>(E30*F30/$C$8)*1000</f>
        <v>72095000</v>
      </c>
      <c r="I30" s="28">
        <f t="shared" si="6"/>
        <v>0.83514806852070189</v>
      </c>
      <c r="J30" s="29"/>
      <c r="K30" s="25"/>
      <c r="L30" s="39">
        <f>(LN(H30)-LN(H24))/(($B$27-$B$21)*24)</f>
        <v>0.23446895170607226</v>
      </c>
      <c r="M30" s="30">
        <v>0.3</v>
      </c>
      <c r="N30" s="31">
        <v>15</v>
      </c>
      <c r="O30" s="17">
        <v>150000000</v>
      </c>
      <c r="P30" s="17">
        <f>O30/(EXP(N30*M30))</f>
        <v>1666349.480736346</v>
      </c>
      <c r="Q30" s="32">
        <v>10</v>
      </c>
      <c r="R30" s="33">
        <f t="shared" si="8"/>
        <v>0.23113246143787308</v>
      </c>
      <c r="S30" s="34">
        <f t="shared" si="9"/>
        <v>231.13246143787308</v>
      </c>
      <c r="T30" s="5"/>
      <c r="U30" s="25" t="str">
        <f t="shared" si="10"/>
        <v>MKO</v>
      </c>
      <c r="V30" s="3"/>
      <c r="W30" s="3"/>
      <c r="X30" s="3"/>
      <c r="Y30" s="3"/>
      <c r="Z30" s="3"/>
      <c r="AA30" s="3"/>
    </row>
    <row r="31" spans="1:27" ht="15.75" customHeight="1" x14ac:dyDescent="0.2">
      <c r="C31" s="84" t="s">
        <v>78</v>
      </c>
    </row>
    <row r="32" spans="1:27" ht="15.75" customHeight="1" x14ac:dyDescent="0.2"/>
    <row r="33" spans="1:27" x14ac:dyDescent="0.2">
      <c r="A33" s="2" t="s">
        <v>28</v>
      </c>
    </row>
    <row r="34" spans="1:27" x14ac:dyDescent="0.2">
      <c r="A34" s="25" t="s">
        <v>45</v>
      </c>
      <c r="B34" s="12">
        <v>45866.6875</v>
      </c>
      <c r="C34" t="s">
        <v>65</v>
      </c>
      <c r="D34" s="59">
        <v>2116</v>
      </c>
      <c r="E34" s="59">
        <v>2356</v>
      </c>
      <c r="F34" s="25">
        <v>1</v>
      </c>
      <c r="G34" s="27">
        <f>(D34*F34/$C$8)*1000</f>
        <v>105800</v>
      </c>
      <c r="H34" s="27">
        <f>(E34*F34/$C$8)*1000</f>
        <v>117800</v>
      </c>
      <c r="I34" s="28">
        <f t="shared" ref="I34:I37" si="11">G34/H34</f>
        <v>0.89813242784380309</v>
      </c>
      <c r="J34" s="29"/>
      <c r="K34" s="30"/>
      <c r="L34" s="39"/>
      <c r="M34" s="30"/>
      <c r="N34" s="31"/>
      <c r="O34" s="17"/>
      <c r="P34" s="17"/>
      <c r="Q34" s="32"/>
      <c r="R34" s="33"/>
      <c r="S34" s="35"/>
      <c r="T34" s="5"/>
      <c r="V34" s="3"/>
      <c r="W34" s="3"/>
      <c r="X34" s="3"/>
      <c r="Y34" s="3"/>
      <c r="Z34" s="3"/>
      <c r="AA34" s="3"/>
    </row>
    <row r="35" spans="1:27" x14ac:dyDescent="0.2">
      <c r="A35" s="25" t="s">
        <v>46</v>
      </c>
      <c r="B35" s="12"/>
      <c r="C35" t="s">
        <v>66</v>
      </c>
      <c r="D35" s="59">
        <v>24038</v>
      </c>
      <c r="E35" s="59">
        <v>28474</v>
      </c>
      <c r="F35" s="25">
        <v>1</v>
      </c>
      <c r="G35" s="27">
        <f>(D35*F35/$C$8)*1000</f>
        <v>1201900</v>
      </c>
      <c r="H35" s="27">
        <f>(E35*F35/$C$8)*1000</f>
        <v>1423700</v>
      </c>
      <c r="I35" s="28">
        <f t="shared" si="11"/>
        <v>0.8442087518437873</v>
      </c>
      <c r="J35" s="29"/>
      <c r="K35" s="30"/>
      <c r="L35" s="39"/>
      <c r="M35" s="30"/>
      <c r="N35" s="31"/>
      <c r="O35" s="17"/>
      <c r="P35" s="17"/>
      <c r="Q35" s="32"/>
      <c r="R35" s="33"/>
      <c r="S35" s="35"/>
      <c r="T35" s="5"/>
      <c r="V35" s="3"/>
      <c r="W35" s="3"/>
      <c r="X35" s="3"/>
      <c r="Y35" s="3"/>
      <c r="Z35" s="3"/>
      <c r="AA35" s="3"/>
    </row>
    <row r="36" spans="1:27" x14ac:dyDescent="0.2">
      <c r="A36" s="25" t="s">
        <v>47</v>
      </c>
      <c r="B36" s="12"/>
      <c r="C36" t="s">
        <v>64</v>
      </c>
      <c r="D36" s="59">
        <v>3228</v>
      </c>
      <c r="E36" s="59">
        <v>3634</v>
      </c>
      <c r="F36" s="25">
        <v>1</v>
      </c>
      <c r="G36" s="27">
        <f>(D36*F36/$C$8)*1000</f>
        <v>161400</v>
      </c>
      <c r="H36" s="27">
        <f>(E36*F36/$C$8)*1000</f>
        <v>181700</v>
      </c>
      <c r="I36" s="28">
        <f t="shared" si="11"/>
        <v>0.88827738029719316</v>
      </c>
      <c r="J36" s="29"/>
      <c r="K36" s="30"/>
      <c r="L36" s="39"/>
      <c r="M36" s="30"/>
      <c r="N36" s="31"/>
      <c r="O36" s="17"/>
      <c r="P36" s="17"/>
      <c r="Q36" s="32"/>
      <c r="R36" s="33"/>
      <c r="S36" s="35"/>
      <c r="T36" s="5"/>
      <c r="V36" s="3"/>
      <c r="W36" s="3"/>
      <c r="X36" s="3"/>
      <c r="Y36" s="3"/>
      <c r="Z36" s="3"/>
      <c r="AA36" s="3"/>
    </row>
    <row r="37" spans="1:27" x14ac:dyDescent="0.2">
      <c r="A37" s="25" t="s">
        <v>48</v>
      </c>
      <c r="B37" s="12"/>
      <c r="C37" t="s">
        <v>67</v>
      </c>
      <c r="D37" s="59">
        <v>33167</v>
      </c>
      <c r="E37" s="59">
        <v>38665</v>
      </c>
      <c r="F37" s="25">
        <v>1</v>
      </c>
      <c r="G37" s="27">
        <f>(D37*F37/$C$8)*1000</f>
        <v>1658350</v>
      </c>
      <c r="H37" s="27">
        <f>(E37*F37/$C$8)*1000</f>
        <v>1933250</v>
      </c>
      <c r="I37" s="28">
        <f t="shared" si="11"/>
        <v>0.85780421569895249</v>
      </c>
      <c r="J37" s="29"/>
      <c r="K37" s="30"/>
      <c r="L37" s="39"/>
      <c r="M37" s="30"/>
      <c r="N37" s="31"/>
      <c r="O37" s="17"/>
      <c r="P37" s="17"/>
      <c r="Q37" s="32"/>
      <c r="R37" s="33"/>
      <c r="S37" s="35"/>
      <c r="T37" s="5"/>
      <c r="V37" s="3"/>
      <c r="W37" s="3"/>
      <c r="X37" s="3"/>
      <c r="Y37" s="3"/>
      <c r="Z37" s="3"/>
      <c r="AA37" s="3"/>
    </row>
    <row r="38" spans="1:27" ht="15.5" customHeight="1" x14ac:dyDescent="0.2">
      <c r="A38" s="2"/>
      <c r="N38" s="26"/>
      <c r="O38" s="26"/>
      <c r="S38" s="3"/>
      <c r="T38" s="5"/>
      <c r="V38" s="3"/>
      <c r="W38" s="3"/>
      <c r="X38" s="3"/>
      <c r="Y38" s="3"/>
      <c r="Z38" s="3"/>
      <c r="AA38" s="3"/>
    </row>
    <row r="39" spans="1:27" ht="15.75" customHeight="1" x14ac:dyDescent="0.2">
      <c r="L39" s="56"/>
      <c r="M39" s="56"/>
      <c r="N39" s="57"/>
    </row>
    <row r="40" spans="1:27" ht="15.75" customHeight="1" x14ac:dyDescent="0.2">
      <c r="A40" s="19" t="s">
        <v>29</v>
      </c>
      <c r="B40" s="44"/>
      <c r="C40" s="44"/>
      <c r="D40" s="44"/>
      <c r="E40" s="44"/>
      <c r="F40" s="45"/>
      <c r="G40" s="46"/>
      <c r="H40" s="46"/>
      <c r="I40" s="47"/>
      <c r="J40" s="48"/>
      <c r="K40" s="49"/>
      <c r="L40" s="50"/>
      <c r="M40" s="49"/>
      <c r="N40" s="51"/>
      <c r="O40" s="52"/>
      <c r="P40" s="52"/>
      <c r="Q40" s="53"/>
      <c r="R40" s="54"/>
      <c r="S40" s="51"/>
      <c r="T40" s="5"/>
      <c r="V40" s="3"/>
      <c r="W40" s="3"/>
      <c r="X40" s="3"/>
      <c r="Y40" s="3"/>
      <c r="Z40" s="3"/>
      <c r="AA40" s="3"/>
    </row>
    <row r="41" spans="1:27" ht="15.75" customHeight="1" x14ac:dyDescent="0.2">
      <c r="A41" s="25" t="s">
        <v>45</v>
      </c>
      <c r="B41" s="12">
        <v>45867.395833333336</v>
      </c>
      <c r="C41" t="s">
        <v>69</v>
      </c>
      <c r="D41" s="59">
        <v>14246</v>
      </c>
      <c r="E41" s="59">
        <v>15690</v>
      </c>
      <c r="F41" s="55">
        <v>1000</v>
      </c>
      <c r="G41" s="27">
        <f>(D41*F41/$C$8)*1000</f>
        <v>712300000</v>
      </c>
      <c r="H41" s="27">
        <f>(E41*F41/$C$8)*1000</f>
        <v>784500000</v>
      </c>
      <c r="I41" s="28">
        <f t="shared" ref="I41:I44" si="12">G41/H41</f>
        <v>0.90796685787125553</v>
      </c>
      <c r="J41" s="29"/>
      <c r="K41" s="30"/>
      <c r="L41" s="39">
        <f>(LN(H41)-LN(H34))/(($B$41-$B$34)*24)</f>
        <v>0.51787138705338776</v>
      </c>
      <c r="M41" s="30">
        <v>0.5</v>
      </c>
      <c r="N41" s="40">
        <v>2.5</v>
      </c>
      <c r="O41" s="17">
        <v>150000000</v>
      </c>
      <c r="P41" s="17">
        <f>O41/(EXP(N41*M41))</f>
        <v>42975719.529028513</v>
      </c>
      <c r="Q41" s="32">
        <v>10</v>
      </c>
      <c r="R41" s="62">
        <f>P41*Q41/(H41)</f>
        <v>0.54781031904434052</v>
      </c>
      <c r="S41" s="63">
        <f>R41*1000</f>
        <v>547.81031904434053</v>
      </c>
      <c r="T41" s="5"/>
      <c r="U41" s="25" t="str">
        <f>A41</f>
        <v>GWT</v>
      </c>
      <c r="V41" s="3"/>
      <c r="W41" s="3"/>
      <c r="X41" s="3"/>
      <c r="Y41" s="3"/>
      <c r="Z41" s="3"/>
      <c r="AA41" s="3"/>
    </row>
    <row r="42" spans="1:27" ht="15.75" customHeight="1" x14ac:dyDescent="0.2">
      <c r="A42" s="25" t="s">
        <v>46</v>
      </c>
      <c r="B42" s="43"/>
      <c r="C42" t="s">
        <v>71</v>
      </c>
      <c r="D42" s="59">
        <v>55604</v>
      </c>
      <c r="E42" s="59">
        <v>66475</v>
      </c>
      <c r="F42" s="55">
        <v>100</v>
      </c>
      <c r="G42" s="27">
        <f>(D42*F42/$C$8)*1000</f>
        <v>278020000</v>
      </c>
      <c r="H42" s="27">
        <f>(E42*F42/$C$8)*1000</f>
        <v>332375000</v>
      </c>
      <c r="I42" s="28">
        <f t="shared" si="12"/>
        <v>0.8364648364046634</v>
      </c>
      <c r="J42" s="29"/>
      <c r="K42" s="30"/>
      <c r="L42" s="39">
        <f>(LN(H42)-LN(H35))/(($B$41-$B$34)*24)</f>
        <v>0.32076498428864408</v>
      </c>
      <c r="M42" s="30">
        <v>0.3</v>
      </c>
      <c r="N42" s="40">
        <v>2.5</v>
      </c>
      <c r="O42" s="17">
        <v>150000000</v>
      </c>
      <c r="P42" s="17">
        <f>O42/(EXP(N42*M42))</f>
        <v>70854982.911152199</v>
      </c>
      <c r="Q42" s="32">
        <v>10</v>
      </c>
      <c r="R42" s="62">
        <f>P42*Q42/(H42)</f>
        <v>2.1317783500910776</v>
      </c>
      <c r="S42" s="63">
        <f>R42*1000</f>
        <v>2131.7783500910778</v>
      </c>
      <c r="T42" s="42"/>
      <c r="U42" s="25" t="str">
        <f t="shared" ref="U42:U44" si="13">A42</f>
        <v>GKO</v>
      </c>
      <c r="V42" s="41"/>
      <c r="W42" s="41"/>
      <c r="X42" s="41"/>
      <c r="Y42" s="41"/>
      <c r="Z42" s="41"/>
      <c r="AA42" s="41"/>
    </row>
    <row r="43" spans="1:27" ht="15.75" customHeight="1" x14ac:dyDescent="0.2">
      <c r="A43" s="25" t="s">
        <v>47</v>
      </c>
      <c r="B43" s="43"/>
      <c r="C43" t="s">
        <v>70</v>
      </c>
      <c r="D43" s="59">
        <v>64035</v>
      </c>
      <c r="E43" s="59">
        <v>71081</v>
      </c>
      <c r="F43" s="55">
        <v>100</v>
      </c>
      <c r="G43" s="27">
        <f>(D43*F43/$C$8)*1000</f>
        <v>320175000</v>
      </c>
      <c r="H43" s="27">
        <f>(E43*F43/$C$8)*1000</f>
        <v>355405000</v>
      </c>
      <c r="I43" s="28">
        <f t="shared" si="12"/>
        <v>0.9008736511866744</v>
      </c>
      <c r="J43" s="29"/>
      <c r="K43" s="30"/>
      <c r="L43" s="39">
        <f>(LN(H43)-LN(H36))/(($B$41-$B$34)*24)</f>
        <v>0.44580331104886406</v>
      </c>
      <c r="M43" s="30">
        <v>0.45</v>
      </c>
      <c r="N43" s="40">
        <v>2.5</v>
      </c>
      <c r="O43" s="17">
        <v>150000000</v>
      </c>
      <c r="P43" s="17">
        <f>O43/(EXP(N43*M43))</f>
        <v>48697870.103752464</v>
      </c>
      <c r="Q43" s="32">
        <v>10</v>
      </c>
      <c r="R43" s="62">
        <f t="shared" ref="R43:R44" si="14">P43*Q43/(H43)</f>
        <v>1.370207794030823</v>
      </c>
      <c r="S43" s="63">
        <f t="shared" ref="S43:S44" si="15">R43*1000</f>
        <v>1370.2077940308232</v>
      </c>
      <c r="T43" s="5"/>
      <c r="U43" s="25" t="str">
        <f t="shared" si="13"/>
        <v>MWT</v>
      </c>
      <c r="V43" s="3"/>
      <c r="W43" s="3"/>
      <c r="X43" s="3"/>
      <c r="Y43" s="3"/>
      <c r="Z43" s="3"/>
      <c r="AA43" s="3"/>
    </row>
    <row r="44" spans="1:27" ht="15.75" customHeight="1" x14ac:dyDescent="0.2">
      <c r="A44" s="25" t="s">
        <v>48</v>
      </c>
      <c r="B44" s="43"/>
      <c r="C44" t="s">
        <v>68</v>
      </c>
      <c r="D44" s="59">
        <v>11700</v>
      </c>
      <c r="E44" s="59">
        <v>14118</v>
      </c>
      <c r="F44" s="55">
        <v>1000</v>
      </c>
      <c r="G44" s="27">
        <f>(D44*F44/$C$8)*1000</f>
        <v>585000000</v>
      </c>
      <c r="H44" s="27">
        <f>(E44*F44/$C$8)*1000</f>
        <v>705900000</v>
      </c>
      <c r="I44" s="28">
        <f t="shared" si="12"/>
        <v>0.82872928176795579</v>
      </c>
      <c r="J44" s="29"/>
      <c r="K44" s="30"/>
      <c r="L44" s="39">
        <f>(LN(H44)-LN(H37))/(($B$41-$B$34)*24)</f>
        <v>0.34707476822789507</v>
      </c>
      <c r="M44" s="30">
        <v>0.3</v>
      </c>
      <c r="N44" s="40">
        <v>2.5</v>
      </c>
      <c r="O44" s="17">
        <v>150000000</v>
      </c>
      <c r="P44" s="17">
        <f t="shared" ref="P44" si="16">O44/(EXP(N44*M44))</f>
        <v>70854982.911152199</v>
      </c>
      <c r="Q44" s="32">
        <v>10</v>
      </c>
      <c r="R44" s="62">
        <f t="shared" si="14"/>
        <v>1.0037538307288878</v>
      </c>
      <c r="S44" s="63">
        <f t="shared" si="15"/>
        <v>1003.7538307288878</v>
      </c>
      <c r="T44" s="5"/>
      <c r="U44" s="25" t="str">
        <f t="shared" si="13"/>
        <v>MKO</v>
      </c>
      <c r="V44" s="3"/>
      <c r="W44" s="3"/>
      <c r="X44" s="3"/>
      <c r="Y44" s="3"/>
      <c r="Z44" s="3"/>
      <c r="AA44" s="3"/>
    </row>
    <row r="45" spans="1:27" ht="15.75" customHeight="1" x14ac:dyDescent="0.2">
      <c r="A45" s="2"/>
    </row>
    <row r="46" spans="1:27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5"/>
      <c r="V66" s="3"/>
      <c r="W66" s="3"/>
      <c r="X66" s="3"/>
      <c r="Y66" s="3"/>
      <c r="Z66" s="3"/>
      <c r="AA66" s="3"/>
    </row>
    <row r="67" spans="1:27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5"/>
      <c r="V67" s="3"/>
      <c r="W67" s="3"/>
      <c r="X67" s="3"/>
      <c r="Y67" s="3"/>
      <c r="Z67" s="3"/>
      <c r="AA67" s="3"/>
    </row>
    <row r="68" spans="1:27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5"/>
      <c r="V68" s="3"/>
      <c r="W68" s="3"/>
      <c r="X68" s="3"/>
      <c r="Y68" s="3"/>
      <c r="Z68" s="3"/>
      <c r="AA68" s="3"/>
    </row>
    <row r="69" spans="1:27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5"/>
      <c r="V69" s="3"/>
      <c r="W69" s="3"/>
      <c r="X69" s="3"/>
      <c r="Y69" s="3"/>
      <c r="Z69" s="3"/>
      <c r="AA69" s="3"/>
    </row>
    <row r="70" spans="1:27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5"/>
      <c r="V70" s="3"/>
      <c r="W70" s="3"/>
      <c r="X70" s="3"/>
      <c r="Y70" s="3"/>
      <c r="Z70" s="3"/>
      <c r="AA70" s="3"/>
    </row>
    <row r="71" spans="1:27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5"/>
      <c r="V71" s="3"/>
      <c r="W71" s="3"/>
      <c r="X71" s="3"/>
      <c r="Y71" s="3"/>
      <c r="Z71" s="3"/>
      <c r="AA71" s="3"/>
    </row>
    <row r="72" spans="1:27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5"/>
      <c r="V72" s="3"/>
      <c r="W72" s="3"/>
      <c r="X72" s="3"/>
      <c r="Y72" s="3"/>
      <c r="Z72" s="3"/>
      <c r="AA72" s="3"/>
    </row>
    <row r="73" spans="1:27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5"/>
      <c r="V73" s="3"/>
      <c r="W73" s="3"/>
      <c r="X73" s="3"/>
      <c r="Y73" s="3"/>
      <c r="Z73" s="3"/>
      <c r="AA73" s="3"/>
    </row>
    <row r="74" spans="1:27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5"/>
      <c r="V86" s="3"/>
      <c r="W86" s="3"/>
      <c r="X86" s="3"/>
      <c r="Y86" s="3"/>
      <c r="Z86" s="3"/>
      <c r="AA86" s="3"/>
    </row>
    <row r="87" spans="1:27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5"/>
      <c r="V87" s="3"/>
      <c r="W87" s="3"/>
      <c r="X87" s="3"/>
      <c r="Y87" s="3"/>
      <c r="Z87" s="3"/>
      <c r="AA87" s="3"/>
    </row>
    <row r="88" spans="1:27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5"/>
      <c r="V88" s="3"/>
      <c r="W88" s="3"/>
      <c r="X88" s="3"/>
      <c r="Y88" s="3"/>
      <c r="Z88" s="3"/>
      <c r="AA88" s="3"/>
    </row>
    <row r="89" spans="1:27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5"/>
      <c r="V89" s="3"/>
      <c r="W89" s="3"/>
      <c r="X89" s="3"/>
      <c r="Y89" s="3"/>
      <c r="Z89" s="3"/>
      <c r="AA89" s="3"/>
    </row>
    <row r="90" spans="1:27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5"/>
      <c r="V90" s="3"/>
      <c r="W90" s="3"/>
      <c r="X90" s="3"/>
      <c r="Y90" s="3"/>
      <c r="Z90" s="3"/>
      <c r="AA90" s="3"/>
    </row>
    <row r="91" spans="1:27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5"/>
      <c r="V91" s="3"/>
      <c r="W91" s="3"/>
      <c r="X91" s="3"/>
      <c r="Y91" s="3"/>
      <c r="Z91" s="3"/>
      <c r="AA91" s="3"/>
    </row>
    <row r="92" spans="1:27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5"/>
      <c r="V92" s="3"/>
      <c r="W92" s="26"/>
      <c r="X92" s="26"/>
      <c r="Y92" s="3"/>
      <c r="Z92" s="3"/>
      <c r="AA92" s="3"/>
    </row>
    <row r="93" spans="1:27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5"/>
      <c r="V93" s="3"/>
      <c r="W93" s="26"/>
      <c r="X93" s="26"/>
      <c r="Z93" s="3"/>
      <c r="AA93" s="3"/>
    </row>
    <row r="94" spans="1:27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26"/>
      <c r="X94" s="26"/>
      <c r="Y94" s="3"/>
      <c r="Z94" s="3"/>
      <c r="AA94" s="3"/>
    </row>
    <row r="95" spans="1:27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26"/>
      <c r="X95" s="26"/>
      <c r="Y95" s="3"/>
      <c r="Z95" s="3"/>
      <c r="AA95" s="3"/>
    </row>
    <row r="96" spans="1:27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26"/>
      <c r="X96" s="26"/>
      <c r="Y96" s="3"/>
      <c r="Z96" s="3"/>
      <c r="AA96" s="3"/>
    </row>
    <row r="97" spans="1:27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26"/>
      <c r="X97" s="26"/>
      <c r="Y97" s="3"/>
      <c r="Z97" s="3"/>
      <c r="AA97" s="3"/>
    </row>
    <row r="98" spans="1:27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26"/>
      <c r="X98" s="26"/>
      <c r="Y98" s="3"/>
      <c r="Z98" s="3"/>
      <c r="AA98" s="3"/>
    </row>
    <row r="99" spans="1:27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26"/>
      <c r="X99" s="26"/>
      <c r="Y99" s="3"/>
      <c r="Z99" s="3"/>
      <c r="AA99" s="3"/>
    </row>
    <row r="100" spans="1:27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5.75" customHeight="1" x14ac:dyDescent="0.2">
      <c r="A175" s="3"/>
      <c r="C175" s="3"/>
      <c r="D175" s="26"/>
      <c r="E175" s="26"/>
      <c r="F175" s="3"/>
      <c r="G175" s="3"/>
      <c r="H175" s="35"/>
      <c r="J175" s="26"/>
      <c r="K175" s="3"/>
      <c r="L175" s="3"/>
      <c r="M175" s="3"/>
      <c r="N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5.75" customHeight="1" x14ac:dyDescent="0.2">
      <c r="A176" s="3"/>
      <c r="D176" s="3"/>
      <c r="E176" s="3"/>
      <c r="F176" s="3"/>
      <c r="G176" s="3"/>
      <c r="H176" s="35"/>
      <c r="J176" s="26"/>
      <c r="K176" s="3"/>
      <c r="L176" s="3"/>
      <c r="M176" s="3"/>
      <c r="N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5.75" customHeight="1" x14ac:dyDescent="0.2">
      <c r="A177" s="3"/>
      <c r="B177" s="3"/>
      <c r="C177" s="3"/>
      <c r="D177" s="3"/>
      <c r="E177" s="3"/>
      <c r="F177" s="3"/>
      <c r="G177" s="3"/>
      <c r="H177" s="3"/>
      <c r="J177" s="26"/>
      <c r="K177" s="3"/>
      <c r="L177" s="3"/>
      <c r="M177" s="3"/>
      <c r="N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5.75" customHeight="1" x14ac:dyDescent="0.2">
      <c r="A178" s="2"/>
      <c r="B178" s="3"/>
      <c r="C178" s="26"/>
      <c r="D178" s="26"/>
      <c r="E178" s="3"/>
      <c r="F178" s="26"/>
      <c r="G178" s="59"/>
      <c r="J178" s="26"/>
      <c r="K178" s="3"/>
      <c r="L178" s="3"/>
      <c r="M178" s="3"/>
      <c r="N178" s="3"/>
      <c r="Q178" s="3"/>
      <c r="R178" s="26"/>
      <c r="S178" s="26"/>
      <c r="T178" s="3"/>
      <c r="U178" s="3"/>
      <c r="V178" s="3"/>
      <c r="W178" s="3"/>
      <c r="X178" s="3"/>
      <c r="Y178" s="3"/>
      <c r="Z178" s="3"/>
      <c r="AA178" s="3"/>
    </row>
    <row r="179" spans="1:27" ht="15.75" customHeight="1" x14ac:dyDescent="0.2">
      <c r="A179" s="3"/>
      <c r="B179" s="3"/>
      <c r="C179" s="26"/>
      <c r="D179" s="26"/>
      <c r="E179" s="3"/>
      <c r="F179" s="26"/>
      <c r="G179" s="59"/>
      <c r="J179" s="26"/>
      <c r="K179" s="26"/>
      <c r="L179" s="26"/>
      <c r="M179" s="3"/>
      <c r="N179" s="3"/>
      <c r="Q179" s="3"/>
      <c r="R179" s="26"/>
      <c r="S179" s="26"/>
      <c r="T179" s="3"/>
      <c r="U179" s="3"/>
      <c r="V179" s="3"/>
      <c r="W179" s="3"/>
      <c r="X179" s="3"/>
      <c r="Y179" s="3"/>
      <c r="Z179" s="3"/>
      <c r="AA179" s="3"/>
    </row>
    <row r="180" spans="1:27" ht="15.75" customHeight="1" x14ac:dyDescent="0.2">
      <c r="A180" s="3"/>
      <c r="B180" s="3"/>
      <c r="C180" s="3"/>
      <c r="D180" s="26"/>
      <c r="E180" s="3"/>
      <c r="F180" s="26"/>
      <c r="G180" s="59"/>
      <c r="J180" s="26"/>
      <c r="K180" s="26"/>
      <c r="L180" s="26"/>
      <c r="M180" s="3"/>
      <c r="N180" s="3"/>
      <c r="Q180" s="3"/>
      <c r="R180" s="26"/>
      <c r="S180" s="26"/>
      <c r="T180" s="3"/>
      <c r="U180" s="3"/>
      <c r="V180" s="3"/>
      <c r="W180" s="3"/>
      <c r="X180" s="3"/>
      <c r="Y180" s="3"/>
      <c r="Z180" s="3"/>
      <c r="AA180" s="3"/>
    </row>
    <row r="181" spans="1:27" ht="15.75" customHeight="1" x14ac:dyDescent="0.2">
      <c r="A181" s="3"/>
      <c r="B181" s="3"/>
      <c r="C181" s="26"/>
      <c r="D181" s="26"/>
      <c r="E181" s="3"/>
      <c r="F181" s="26"/>
      <c r="G181" s="59"/>
      <c r="J181" s="26"/>
      <c r="K181" s="26"/>
      <c r="L181" s="26"/>
      <c r="M181" s="3"/>
      <c r="N181" s="3"/>
      <c r="Q181" s="3"/>
      <c r="R181" s="26"/>
      <c r="S181" s="26"/>
      <c r="T181" s="3"/>
      <c r="U181" s="3"/>
      <c r="V181" s="3"/>
      <c r="W181" s="3"/>
      <c r="X181" s="3"/>
      <c r="Y181" s="3"/>
      <c r="Z181" s="3"/>
      <c r="AA181" s="3"/>
    </row>
    <row r="182" spans="1:27" ht="15.75" customHeight="1" x14ac:dyDescent="0.2">
      <c r="A182" s="3"/>
      <c r="B182" s="3"/>
      <c r="C182" s="26"/>
      <c r="D182" s="26"/>
      <c r="E182" s="3"/>
      <c r="F182" s="26"/>
      <c r="G182" s="59"/>
      <c r="I182" s="26"/>
      <c r="J182" s="3"/>
      <c r="K182" s="26"/>
      <c r="L182" s="26"/>
      <c r="M182" s="3"/>
      <c r="N182" s="3"/>
      <c r="O182" s="26"/>
      <c r="P182" s="26"/>
      <c r="Q182" s="3"/>
      <c r="R182" s="26"/>
      <c r="S182" s="26"/>
      <c r="T182" s="3"/>
      <c r="U182" s="3"/>
      <c r="V182" s="3"/>
      <c r="W182" s="3"/>
      <c r="X182" s="3"/>
      <c r="Y182" s="3"/>
      <c r="Z182" s="3"/>
      <c r="AA182" s="3"/>
    </row>
    <row r="183" spans="1:27" ht="15.75" customHeight="1" x14ac:dyDescent="0.2">
      <c r="A183" s="3"/>
      <c r="B183" s="3"/>
      <c r="C183" s="26"/>
      <c r="D183" s="26"/>
      <c r="E183" s="3"/>
      <c r="F183" s="26"/>
      <c r="G183" s="59"/>
      <c r="I183" s="26"/>
      <c r="J183" s="3"/>
      <c r="K183" s="26"/>
      <c r="L183" s="26"/>
      <c r="M183" s="3"/>
      <c r="N183" s="3"/>
      <c r="O183" s="26"/>
      <c r="P183" s="26"/>
      <c r="Q183" s="3"/>
      <c r="R183" s="26"/>
      <c r="S183" s="26"/>
      <c r="T183" s="3"/>
      <c r="U183" s="3"/>
      <c r="V183" s="3"/>
      <c r="W183" s="3"/>
      <c r="X183" s="3"/>
      <c r="Y183" s="3"/>
      <c r="Z183" s="3"/>
      <c r="AA183" s="3"/>
    </row>
    <row r="184" spans="1:27" ht="15.75" customHeight="1" x14ac:dyDescent="0.2">
      <c r="A184" s="3"/>
      <c r="B184" s="3"/>
      <c r="C184" s="26"/>
      <c r="D184" s="26"/>
      <c r="E184" s="3"/>
      <c r="F184" s="26"/>
      <c r="G184" s="59"/>
      <c r="I184" s="26"/>
      <c r="J184" s="3"/>
      <c r="K184" s="26"/>
      <c r="L184" s="26"/>
      <c r="M184" s="3"/>
      <c r="N184" s="3"/>
      <c r="O184" s="26"/>
      <c r="P184" s="26"/>
      <c r="Q184" s="3"/>
      <c r="R184" s="26"/>
      <c r="S184" s="26"/>
      <c r="T184" s="3"/>
      <c r="U184" s="3"/>
      <c r="V184" s="3"/>
      <c r="W184" s="3"/>
      <c r="X184" s="3"/>
      <c r="Y184" s="3"/>
      <c r="Z184" s="3"/>
      <c r="AA184" s="3"/>
    </row>
    <row r="185" spans="1:27" ht="15.75" customHeight="1" x14ac:dyDescent="0.2">
      <c r="A185" s="3"/>
      <c r="B185" s="3"/>
      <c r="C185" s="26"/>
      <c r="D185" s="26"/>
      <c r="E185" s="3"/>
      <c r="F185" s="26"/>
      <c r="G185" s="59"/>
      <c r="I185" s="26"/>
      <c r="J185" s="3"/>
      <c r="K185" s="26"/>
      <c r="L185" s="26"/>
      <c r="M185" s="3"/>
      <c r="N185" s="3"/>
      <c r="O185" s="26"/>
      <c r="P185" s="26"/>
      <c r="Q185" s="3"/>
      <c r="R185" s="26"/>
      <c r="S185" s="26"/>
      <c r="T185" s="3"/>
      <c r="U185" s="3"/>
      <c r="V185" s="3"/>
      <c r="W185" s="3"/>
      <c r="X185" s="3"/>
      <c r="Y185" s="3"/>
      <c r="Z185" s="3"/>
      <c r="AA185" s="3"/>
    </row>
    <row r="186" spans="1:27" ht="15.75" customHeight="1" x14ac:dyDescent="0.2">
      <c r="A186" s="3"/>
      <c r="B186" s="3"/>
      <c r="C186" s="26"/>
      <c r="D186" s="26"/>
      <c r="E186" s="3"/>
      <c r="F186" s="3"/>
      <c r="I186" s="26"/>
      <c r="J186" s="3"/>
      <c r="K186" s="26"/>
      <c r="L186" s="26"/>
      <c r="M186" s="3"/>
      <c r="N186" s="3"/>
      <c r="O186" s="26"/>
      <c r="P186" s="26"/>
      <c r="Q186" s="3"/>
      <c r="R186" s="26"/>
      <c r="S186" s="26"/>
      <c r="T186" s="3"/>
      <c r="U186" s="3"/>
      <c r="V186" s="3"/>
      <c r="W186" s="3"/>
      <c r="X186" s="3"/>
      <c r="Y186" s="3"/>
      <c r="Z186" s="3"/>
      <c r="AA186" s="3"/>
    </row>
    <row r="187" spans="1:27" ht="15.75" customHeight="1" x14ac:dyDescent="0.2">
      <c r="A187" s="3"/>
      <c r="B187" s="3"/>
      <c r="C187" s="26"/>
      <c r="D187" s="26"/>
      <c r="E187" s="3"/>
      <c r="F187" s="3"/>
      <c r="I187" s="26"/>
      <c r="J187" s="3"/>
      <c r="K187" s="26"/>
      <c r="L187" s="26"/>
      <c r="M187" s="3"/>
      <c r="N187" s="3"/>
      <c r="O187" s="26"/>
      <c r="P187" s="26"/>
      <c r="Q187" s="3"/>
      <c r="R187" s="26"/>
      <c r="S187" s="26"/>
      <c r="T187" s="3"/>
      <c r="U187" s="3"/>
      <c r="V187" s="3"/>
      <c r="W187" s="3"/>
      <c r="X187" s="3"/>
      <c r="Y187" s="3"/>
      <c r="Z187" s="3"/>
      <c r="AA187" s="3"/>
    </row>
    <row r="188" spans="1:27" ht="15.75" customHeight="1" x14ac:dyDescent="0.2">
      <c r="A188" s="3"/>
      <c r="B188" s="3"/>
      <c r="C188" s="26"/>
      <c r="D188" s="26"/>
      <c r="E188" s="3"/>
      <c r="F188" s="3"/>
      <c r="I188" s="26"/>
      <c r="J188" s="3"/>
      <c r="K188" s="26"/>
      <c r="L188" s="26"/>
      <c r="M188" s="3"/>
      <c r="N188" s="3"/>
      <c r="O188" s="26"/>
      <c r="P188" s="26"/>
      <c r="Q188" s="3"/>
      <c r="R188" s="26"/>
      <c r="S188" s="26"/>
      <c r="T188" s="3"/>
      <c r="U188" s="3"/>
      <c r="V188" s="3"/>
      <c r="W188" s="3"/>
      <c r="X188" s="3"/>
      <c r="Y188" s="3"/>
      <c r="Z188" s="3"/>
      <c r="AA188" s="3"/>
    </row>
    <row r="189" spans="1:27" ht="15.75" customHeight="1" x14ac:dyDescent="0.2">
      <c r="A189" s="3"/>
      <c r="B189" s="3"/>
      <c r="C189" s="26"/>
      <c r="D189" s="26"/>
      <c r="E189" s="3"/>
      <c r="F189" s="3"/>
      <c r="H189" s="26"/>
      <c r="I189" s="26"/>
      <c r="J189" s="3"/>
      <c r="K189" s="26"/>
      <c r="L189" s="26"/>
      <c r="M189" s="3"/>
      <c r="N189" s="3"/>
      <c r="O189" s="26"/>
      <c r="P189" s="26"/>
      <c r="Q189" s="3"/>
      <c r="R189" s="26"/>
      <c r="S189" s="26"/>
      <c r="T189" s="3"/>
      <c r="U189" s="3"/>
      <c r="V189" s="3"/>
      <c r="W189" s="3"/>
      <c r="X189" s="3"/>
      <c r="Y189" s="3"/>
      <c r="Z189" s="3"/>
      <c r="AA189" s="3"/>
    </row>
    <row r="190" spans="1:27" ht="15.75" customHeight="1" x14ac:dyDescent="0.2">
      <c r="A190" s="3"/>
      <c r="B190" s="3"/>
      <c r="C190" s="26"/>
      <c r="D190" s="26"/>
      <c r="E190" s="3"/>
      <c r="F190" s="3"/>
      <c r="H190" s="3"/>
      <c r="I190" s="3"/>
      <c r="J190" s="3"/>
      <c r="K190" s="26"/>
      <c r="L190" s="26"/>
      <c r="M190" s="3"/>
      <c r="N190" s="3"/>
      <c r="O190" s="26"/>
      <c r="P190" s="26"/>
      <c r="Q190" s="3"/>
      <c r="R190" s="26"/>
      <c r="S190" s="26"/>
      <c r="T190" s="3"/>
      <c r="U190" s="3"/>
      <c r="V190" s="3"/>
      <c r="W190" s="3"/>
      <c r="X190" s="3"/>
      <c r="Y190" s="3"/>
      <c r="Z190" s="3"/>
      <c r="AA190" s="3"/>
    </row>
    <row r="191" spans="1:27" ht="15.75" customHeight="1" x14ac:dyDescent="0.2">
      <c r="A191" s="3"/>
      <c r="B191" s="3"/>
      <c r="C191" s="26"/>
      <c r="D191" s="26"/>
      <c r="E191" s="3"/>
      <c r="F191" s="3"/>
      <c r="H191" s="3"/>
      <c r="I191" s="3"/>
      <c r="J191" s="3"/>
      <c r="K191" s="26"/>
      <c r="L191" s="26"/>
      <c r="M191" s="3"/>
      <c r="N191" s="3"/>
      <c r="O191" s="26"/>
      <c r="P191" s="26"/>
      <c r="Q191" s="3"/>
      <c r="R191" s="26"/>
      <c r="S191" s="26"/>
      <c r="T191" s="3"/>
      <c r="U191" s="3"/>
      <c r="V191" s="3"/>
      <c r="W191" s="3"/>
      <c r="X191" s="3"/>
      <c r="Y191" s="3"/>
      <c r="Z191" s="3"/>
      <c r="AA191" s="3"/>
    </row>
    <row r="192" spans="1:27" ht="15.75" customHeight="1" x14ac:dyDescent="0.2">
      <c r="A192" s="3"/>
      <c r="B192" s="3"/>
      <c r="C192" s="26"/>
      <c r="D192" s="26"/>
      <c r="E192" s="3"/>
      <c r="F192" s="3"/>
      <c r="H192" s="3"/>
      <c r="I192" s="3"/>
      <c r="J192" s="3"/>
      <c r="K192" s="26"/>
      <c r="L192" s="26"/>
      <c r="M192" s="3"/>
      <c r="N192" s="3"/>
      <c r="O192" s="26"/>
      <c r="P192" s="26"/>
      <c r="Q192" s="3"/>
      <c r="R192" s="26"/>
      <c r="S192" s="26"/>
      <c r="T192" s="3"/>
      <c r="U192" s="3"/>
      <c r="V192" s="3"/>
      <c r="W192" s="3"/>
      <c r="X192" s="3"/>
      <c r="Y192" s="3"/>
      <c r="Z192" s="3"/>
      <c r="AA192" s="3"/>
    </row>
    <row r="193" spans="1:27" ht="15.75" customHeight="1" x14ac:dyDescent="0.2">
      <c r="A193" s="3"/>
      <c r="B193" s="3"/>
      <c r="C193" s="26"/>
      <c r="D193" s="26"/>
      <c r="E193" s="3"/>
      <c r="F193" s="3"/>
      <c r="H193" s="3"/>
      <c r="I193" s="3"/>
      <c r="J193" s="3"/>
      <c r="K193" s="26"/>
      <c r="L193" s="26"/>
      <c r="M193" s="3"/>
      <c r="N193" s="3"/>
      <c r="O193" s="26"/>
      <c r="P193" s="26"/>
      <c r="Q193" s="3"/>
      <c r="R193" s="26"/>
      <c r="S193" s="26"/>
      <c r="T193" s="3"/>
      <c r="U193" s="3"/>
      <c r="V193" s="3"/>
      <c r="W193" s="3"/>
      <c r="X193" s="3"/>
      <c r="Y193" s="3"/>
      <c r="Z193" s="3"/>
      <c r="AA193" s="3"/>
    </row>
    <row r="194" spans="1:27" ht="15.75" customHeight="1" x14ac:dyDescent="0.2">
      <c r="A194" s="3"/>
      <c r="B194" s="3"/>
      <c r="C194" s="26"/>
      <c r="D194" s="26"/>
      <c r="E194" s="3"/>
      <c r="F194" s="3"/>
      <c r="H194" s="3"/>
      <c r="I194" s="3"/>
      <c r="J194" s="3"/>
      <c r="K194" s="26"/>
      <c r="L194" s="26"/>
      <c r="M194" s="3"/>
      <c r="N194" s="3"/>
      <c r="O194" s="26"/>
      <c r="P194" s="26"/>
      <c r="Q194" s="3"/>
      <c r="R194" s="26"/>
      <c r="S194" s="26"/>
      <c r="T194" s="3"/>
      <c r="U194" s="3"/>
      <c r="V194" s="3"/>
      <c r="W194" s="3"/>
      <c r="X194" s="3"/>
      <c r="Y194" s="3"/>
      <c r="Z194" s="3"/>
      <c r="AA194" s="3"/>
    </row>
    <row r="195" spans="1:27" ht="15.75" customHeight="1" x14ac:dyDescent="0.2">
      <c r="A195" s="60"/>
      <c r="B195" s="3"/>
      <c r="C195" s="26"/>
      <c r="D195" s="26"/>
      <c r="E195" s="60"/>
      <c r="F195" s="3"/>
      <c r="H195" s="3"/>
      <c r="I195" s="3"/>
      <c r="J195" s="3"/>
      <c r="K195" s="3"/>
      <c r="L195" s="3"/>
      <c r="M195" s="3"/>
      <c r="N195" s="3"/>
      <c r="O195" s="26"/>
      <c r="P195" s="26"/>
      <c r="Q195" s="3"/>
      <c r="R195" s="26"/>
      <c r="S195" s="26"/>
      <c r="T195" s="3"/>
      <c r="U195" s="3"/>
      <c r="V195" s="3"/>
      <c r="W195" s="3"/>
      <c r="X195" s="3"/>
      <c r="Y195" s="3"/>
      <c r="Z195" s="3"/>
      <c r="AA195" s="3"/>
    </row>
    <row r="196" spans="1:27" ht="15.75" customHeight="1" x14ac:dyDescent="0.2">
      <c r="A196" s="3"/>
      <c r="B196" s="3"/>
      <c r="C196" s="26"/>
      <c r="D196" s="26"/>
      <c r="E196" s="3"/>
      <c r="F196" s="3"/>
      <c r="H196" s="26"/>
      <c r="I196" s="26"/>
      <c r="J196" s="3"/>
      <c r="K196" s="3"/>
      <c r="L196" s="3"/>
      <c r="M196" s="3"/>
      <c r="N196" s="3"/>
      <c r="O196" s="26"/>
      <c r="P196" s="26"/>
      <c r="Q196" s="3"/>
      <c r="R196" s="26"/>
      <c r="S196" s="26"/>
      <c r="T196" s="3"/>
      <c r="U196" s="3"/>
      <c r="V196" s="3"/>
      <c r="W196" s="3"/>
      <c r="X196" s="3"/>
      <c r="Y196" s="3"/>
      <c r="Z196" s="3"/>
      <c r="AA196" s="3"/>
    </row>
    <row r="197" spans="1:27" ht="15.75" customHeight="1" x14ac:dyDescent="0.2">
      <c r="A197" s="3"/>
      <c r="B197" s="3"/>
      <c r="C197" s="3"/>
      <c r="D197" s="3"/>
      <c r="E197" s="3"/>
      <c r="F197" s="3"/>
      <c r="H197" s="26"/>
      <c r="I197" s="26"/>
      <c r="J197" s="3"/>
      <c r="K197" s="3"/>
      <c r="L197" s="3"/>
      <c r="M197" s="3"/>
      <c r="N197" s="3"/>
      <c r="O197" s="26"/>
      <c r="P197" s="26"/>
      <c r="Q197" s="3"/>
      <c r="R197" s="26"/>
      <c r="S197" s="26"/>
      <c r="T197" s="3"/>
      <c r="U197" s="3"/>
      <c r="V197" s="3"/>
      <c r="W197" s="3"/>
      <c r="X197" s="3"/>
      <c r="Y197" s="3"/>
      <c r="Z197" s="3"/>
      <c r="AA197" s="3"/>
    </row>
    <row r="198" spans="1:27" ht="15.75" customHeight="1" x14ac:dyDescent="0.2">
      <c r="A198" s="3"/>
      <c r="B198" s="3"/>
      <c r="C198" s="26"/>
      <c r="D198" s="26"/>
      <c r="E198" s="3"/>
      <c r="F198" s="3"/>
      <c r="H198" s="26"/>
      <c r="I198" s="26"/>
      <c r="J198" s="3"/>
      <c r="K198" s="3"/>
      <c r="L198" s="3"/>
      <c r="M198" s="3"/>
      <c r="N198" s="3"/>
      <c r="O198" s="26"/>
      <c r="P198" s="26"/>
      <c r="Q198" s="3"/>
      <c r="R198" s="26"/>
      <c r="S198" s="26"/>
    </row>
    <row r="199" spans="1:27" ht="15.75" customHeight="1" x14ac:dyDescent="0.2">
      <c r="A199" s="3"/>
      <c r="B199" s="26"/>
      <c r="C199" s="26"/>
      <c r="D199" s="26"/>
      <c r="E199" s="3"/>
      <c r="F199" s="26"/>
      <c r="G199" s="59"/>
      <c r="H199" s="26"/>
      <c r="I199" s="26"/>
      <c r="J199" s="3"/>
      <c r="K199" s="3"/>
      <c r="L199" s="3"/>
      <c r="M199" s="3"/>
      <c r="N199" s="3"/>
      <c r="O199" s="26"/>
      <c r="P199" s="26"/>
      <c r="Q199" s="3"/>
      <c r="R199" s="26"/>
      <c r="S199" s="26"/>
    </row>
    <row r="200" spans="1:27" ht="15.75" customHeight="1" x14ac:dyDescent="0.2">
      <c r="A200" s="3"/>
      <c r="B200" s="26"/>
      <c r="C200" s="59"/>
      <c r="E200" s="3"/>
      <c r="F200" s="26"/>
      <c r="G200" s="59"/>
      <c r="H200" s="26"/>
      <c r="I200" s="26"/>
      <c r="J200" s="3"/>
      <c r="K200" s="3"/>
      <c r="L200" s="3"/>
      <c r="M200" s="3"/>
      <c r="N200" s="3"/>
      <c r="O200" s="26"/>
      <c r="P200" s="26"/>
      <c r="Q200" s="3"/>
      <c r="R200" s="26"/>
      <c r="S200" s="26"/>
    </row>
    <row r="201" spans="1:27" ht="15.75" customHeight="1" x14ac:dyDescent="0.2">
      <c r="A201" s="3"/>
      <c r="B201" s="26"/>
      <c r="C201" s="26"/>
      <c r="D201" s="26"/>
      <c r="E201" s="3"/>
      <c r="F201" s="26"/>
      <c r="G201" s="59"/>
      <c r="H201" s="26"/>
      <c r="I201" s="26"/>
      <c r="J201" s="3"/>
      <c r="K201" s="3"/>
      <c r="L201" s="3"/>
      <c r="M201" s="3"/>
      <c r="N201" s="3"/>
      <c r="O201" s="26"/>
      <c r="P201" s="26"/>
      <c r="Q201" s="3"/>
      <c r="R201" s="26"/>
      <c r="S201" s="26"/>
    </row>
    <row r="202" spans="1:27" ht="15.75" customHeight="1" x14ac:dyDescent="0.2">
      <c r="A202" s="3"/>
      <c r="B202" s="26"/>
      <c r="C202" s="26"/>
      <c r="D202" s="26"/>
      <c r="E202" s="3"/>
      <c r="F202" s="26"/>
      <c r="G202" s="59"/>
      <c r="H202" s="26"/>
      <c r="I202" s="26"/>
      <c r="J202" s="3"/>
      <c r="K202" s="3"/>
      <c r="L202" s="3"/>
      <c r="M202" s="3"/>
      <c r="N202" s="3"/>
      <c r="O202" s="26"/>
      <c r="P202" s="26"/>
      <c r="Q202" s="3"/>
      <c r="R202" s="3"/>
      <c r="S202" s="26"/>
    </row>
    <row r="203" spans="1:27" ht="15.75" customHeight="1" x14ac:dyDescent="0.2">
      <c r="A203" s="3"/>
      <c r="B203" s="26"/>
      <c r="C203" s="59"/>
      <c r="D203" s="26"/>
      <c r="E203" s="3"/>
      <c r="F203" s="26"/>
      <c r="G203" s="59"/>
      <c r="H203" s="3"/>
      <c r="I203" s="3"/>
      <c r="J203" s="3"/>
      <c r="K203" s="3"/>
      <c r="L203" s="3"/>
      <c r="M203" s="3"/>
      <c r="N203" s="3"/>
      <c r="O203" s="3"/>
      <c r="P203" s="26"/>
      <c r="Q203" s="3"/>
      <c r="R203" s="26"/>
      <c r="S203" s="26"/>
    </row>
    <row r="204" spans="1:27" ht="15.75" customHeight="1" x14ac:dyDescent="0.2">
      <c r="A204" s="3"/>
      <c r="B204" s="26"/>
      <c r="C204" s="26"/>
      <c r="D204" s="26"/>
      <c r="E204" s="3"/>
      <c r="F204" s="26"/>
      <c r="G204" s="59"/>
      <c r="H204" s="3"/>
      <c r="I204" s="3"/>
      <c r="J204" s="3"/>
      <c r="K204" s="3"/>
      <c r="L204" s="3"/>
      <c r="M204" s="3"/>
      <c r="N204" s="3"/>
      <c r="O204" s="26"/>
      <c r="P204" s="26"/>
      <c r="Q204" s="3"/>
      <c r="R204" s="26"/>
      <c r="S204" s="26"/>
    </row>
    <row r="205" spans="1:27" ht="15.75" customHeight="1" x14ac:dyDescent="0.2">
      <c r="A205" s="3"/>
      <c r="B205" s="26"/>
      <c r="C205" s="26"/>
      <c r="D205" s="26"/>
      <c r="E205" s="3"/>
      <c r="F205" s="26"/>
      <c r="G205" s="59"/>
      <c r="H205" s="3"/>
      <c r="I205" s="3"/>
      <c r="J205" s="3"/>
      <c r="K205" s="3"/>
      <c r="L205" s="3"/>
      <c r="M205" s="3"/>
      <c r="N205" s="3"/>
      <c r="O205" s="26"/>
      <c r="P205" s="26"/>
      <c r="Q205" s="3"/>
      <c r="R205" s="3"/>
      <c r="S205" s="26"/>
    </row>
    <row r="206" spans="1:27" ht="15.75" customHeight="1" x14ac:dyDescent="0.2">
      <c r="A206" s="3"/>
      <c r="B206" s="26"/>
      <c r="C206" s="26"/>
      <c r="D206" s="26"/>
      <c r="E206" s="3"/>
      <c r="F206" s="26"/>
      <c r="G206" s="59"/>
      <c r="H206" s="3"/>
      <c r="I206" s="3"/>
      <c r="J206" s="3"/>
      <c r="K206" s="3"/>
      <c r="L206" s="3"/>
      <c r="M206" s="3"/>
      <c r="N206" s="3"/>
      <c r="O206" s="3"/>
      <c r="P206" s="26"/>
      <c r="Q206" s="3"/>
      <c r="R206" s="59"/>
      <c r="S206" s="59"/>
    </row>
    <row r="207" spans="1:27" ht="15.75" customHeight="1" x14ac:dyDescent="0.2">
      <c r="C207" s="59"/>
      <c r="D207" s="59"/>
      <c r="H207" s="3"/>
      <c r="I207" s="3"/>
      <c r="O207" s="59"/>
      <c r="P207" s="59"/>
      <c r="R207" s="59"/>
      <c r="S207" s="59"/>
    </row>
    <row r="208" spans="1:27" ht="15.75" customHeight="1" x14ac:dyDescent="0.2">
      <c r="C208" s="59"/>
      <c r="D208" s="59"/>
      <c r="H208" s="3"/>
      <c r="I208" s="3"/>
      <c r="O208" s="59"/>
      <c r="P208" s="59"/>
      <c r="R208" s="59"/>
      <c r="S208" s="59"/>
    </row>
    <row r="209" spans="2:19" ht="15.75" customHeight="1" x14ac:dyDescent="0.2">
      <c r="C209" s="59"/>
      <c r="D209" s="59"/>
      <c r="H209" s="26"/>
      <c r="I209" s="26"/>
      <c r="O209" s="59"/>
      <c r="P209" s="59"/>
      <c r="R209" s="59"/>
      <c r="S209" s="59"/>
    </row>
    <row r="210" spans="2:19" ht="15.75" customHeight="1" x14ac:dyDescent="0.2">
      <c r="C210" s="59"/>
      <c r="D210" s="59"/>
      <c r="H210" s="26"/>
      <c r="I210" s="26"/>
      <c r="O210" s="59"/>
      <c r="P210" s="59"/>
      <c r="R210" s="59"/>
      <c r="S210" s="59"/>
    </row>
    <row r="211" spans="2:19" ht="15.75" customHeight="1" x14ac:dyDescent="0.2">
      <c r="C211" s="59"/>
      <c r="D211" s="59"/>
      <c r="H211" s="26"/>
      <c r="I211" s="26"/>
      <c r="O211" s="59"/>
      <c r="P211" s="59"/>
      <c r="R211" s="59"/>
      <c r="S211" s="59"/>
    </row>
    <row r="212" spans="2:19" ht="15.75" customHeight="1" x14ac:dyDescent="0.2">
      <c r="C212" s="59"/>
      <c r="D212" s="59"/>
      <c r="H212" s="26"/>
      <c r="I212" s="26"/>
      <c r="O212" s="59"/>
      <c r="P212" s="59"/>
      <c r="R212" s="59"/>
      <c r="S212" s="59"/>
    </row>
    <row r="213" spans="2:19" ht="15.75" customHeight="1" x14ac:dyDescent="0.2">
      <c r="B213" s="61"/>
      <c r="C213" s="59"/>
      <c r="D213" s="59"/>
      <c r="H213" s="26"/>
      <c r="I213" s="26"/>
      <c r="O213" s="59"/>
      <c r="P213" s="59"/>
      <c r="R213" s="59"/>
      <c r="S213" s="59"/>
    </row>
    <row r="214" spans="2:19" ht="15.75" customHeight="1" x14ac:dyDescent="0.2">
      <c r="C214" s="59"/>
      <c r="D214" s="59"/>
      <c r="H214" s="26"/>
      <c r="I214" s="26"/>
      <c r="O214" s="59"/>
      <c r="P214" s="59"/>
      <c r="R214" s="59"/>
      <c r="S214" s="59"/>
    </row>
    <row r="215" spans="2:19" ht="15.75" customHeight="1" x14ac:dyDescent="0.2">
      <c r="C215" s="59"/>
      <c r="D215" s="59"/>
      <c r="H215" s="26"/>
      <c r="I215" s="26"/>
      <c r="O215" s="59"/>
      <c r="P215" s="59"/>
      <c r="R215" s="59"/>
      <c r="S215" s="59"/>
    </row>
    <row r="216" spans="2:19" ht="15.75" customHeight="1" x14ac:dyDescent="0.2">
      <c r="C216" s="59"/>
      <c r="D216" s="59"/>
      <c r="H216" s="26"/>
      <c r="I216" s="26"/>
      <c r="O216" s="59"/>
      <c r="P216" s="59"/>
      <c r="R216" s="59"/>
      <c r="S216" s="59"/>
    </row>
    <row r="217" spans="2:19" ht="15.75" customHeight="1" x14ac:dyDescent="0.2">
      <c r="B217" s="59"/>
      <c r="C217" s="59"/>
      <c r="D217" s="59"/>
      <c r="G217" s="3"/>
      <c r="H217" s="3"/>
      <c r="I217" s="3"/>
      <c r="O217" s="59"/>
      <c r="P217" s="59"/>
      <c r="R217" s="59"/>
      <c r="S217" s="59"/>
    </row>
    <row r="218" spans="2:19" ht="15.75" customHeight="1" x14ac:dyDescent="0.2">
      <c r="B218" s="59"/>
      <c r="C218" s="59"/>
      <c r="D218" s="59"/>
      <c r="G218" s="3"/>
      <c r="H218" s="3"/>
      <c r="I218" s="3"/>
      <c r="O218" s="59"/>
      <c r="P218" s="59"/>
    </row>
    <row r="219" spans="2:19" ht="15.75" customHeight="1" x14ac:dyDescent="0.2">
      <c r="B219" s="59"/>
      <c r="C219" s="59"/>
      <c r="D219" s="59"/>
      <c r="G219" s="3"/>
      <c r="H219" s="3"/>
      <c r="I219" s="3"/>
    </row>
    <row r="220" spans="2:19" ht="15.75" customHeight="1" x14ac:dyDescent="0.2">
      <c r="B220" s="59"/>
      <c r="C220" s="59"/>
      <c r="D220" s="59"/>
      <c r="G220" s="3"/>
      <c r="H220" s="3"/>
      <c r="I220" s="3"/>
    </row>
    <row r="221" spans="2:19" ht="15.75" customHeight="1" x14ac:dyDescent="0.2">
      <c r="B221" s="59"/>
      <c r="C221" s="59"/>
      <c r="D221" s="59"/>
      <c r="G221" s="3"/>
      <c r="H221" s="26"/>
      <c r="I221" s="26"/>
    </row>
    <row r="222" spans="2:19" ht="15.75" customHeight="1" x14ac:dyDescent="0.2">
      <c r="B222" s="59"/>
      <c r="C222" s="59"/>
      <c r="D222" s="59"/>
      <c r="G222" s="3"/>
      <c r="H222" s="3"/>
      <c r="I222" s="3"/>
    </row>
    <row r="223" spans="2:19" ht="15.75" customHeight="1" x14ac:dyDescent="0.2">
      <c r="B223" s="59"/>
      <c r="C223" s="59"/>
      <c r="D223" s="59"/>
    </row>
    <row r="224" spans="2:19" ht="15.75" customHeight="1" x14ac:dyDescent="0.2">
      <c r="B224" s="59"/>
      <c r="C224" s="59"/>
      <c r="D224" s="59"/>
    </row>
    <row r="225" spans="2:8" ht="15.75" customHeight="1" x14ac:dyDescent="0.2">
      <c r="C225" s="59"/>
      <c r="D225" s="59"/>
    </row>
    <row r="226" spans="2:8" ht="15.75" customHeight="1" x14ac:dyDescent="0.2">
      <c r="C226" s="59"/>
      <c r="D226" s="59"/>
    </row>
    <row r="227" spans="2:8" ht="15.75" customHeight="1" x14ac:dyDescent="0.2">
      <c r="C227" s="59"/>
      <c r="D227" s="59"/>
    </row>
    <row r="228" spans="2:8" ht="15.75" customHeight="1" x14ac:dyDescent="0.2">
      <c r="C228" s="59"/>
      <c r="D228" s="59"/>
    </row>
    <row r="229" spans="2:8" ht="15.75" customHeight="1" x14ac:dyDescent="0.2">
      <c r="C229" s="59"/>
      <c r="D229" s="59"/>
    </row>
    <row r="230" spans="2:8" ht="15.75" customHeight="1" x14ac:dyDescent="0.2">
      <c r="B230" s="64"/>
      <c r="C230" s="59"/>
      <c r="D230" s="59"/>
    </row>
    <row r="231" spans="2:8" ht="15.75" customHeight="1" x14ac:dyDescent="0.2">
      <c r="C231" s="64"/>
      <c r="D231" s="59"/>
    </row>
    <row r="232" spans="2:8" ht="15.75" customHeight="1" x14ac:dyDescent="0.2">
      <c r="C232" s="64"/>
      <c r="D232" s="64"/>
    </row>
    <row r="233" spans="2:8" ht="15.75" customHeight="1" x14ac:dyDescent="0.2">
      <c r="C233" s="64"/>
      <c r="D233" s="64"/>
      <c r="G233" s="59"/>
      <c r="H233" s="59"/>
    </row>
    <row r="234" spans="2:8" ht="15.75" customHeight="1" x14ac:dyDescent="0.2">
      <c r="B234" s="64"/>
      <c r="C234" s="65"/>
      <c r="D234" s="65"/>
      <c r="G234" s="59"/>
      <c r="H234" s="59"/>
    </row>
    <row r="235" spans="2:8" ht="15.75" customHeight="1" x14ac:dyDescent="0.2">
      <c r="B235" s="64"/>
      <c r="C235" s="64"/>
      <c r="D235" s="65"/>
      <c r="G235" s="59"/>
      <c r="H235" s="59"/>
    </row>
    <row r="236" spans="2:8" ht="15.75" customHeight="1" x14ac:dyDescent="0.2">
      <c r="B236" s="64"/>
      <c r="C236" s="65"/>
      <c r="D236" s="65"/>
      <c r="G236" s="59"/>
      <c r="H236" s="59"/>
    </row>
    <row r="237" spans="2:8" ht="15.75" customHeight="1" x14ac:dyDescent="0.2">
      <c r="B237" s="64"/>
      <c r="C237" s="65"/>
      <c r="D237" s="65"/>
      <c r="G237" s="59"/>
      <c r="H237" s="59"/>
    </row>
    <row r="238" spans="2:8" ht="15.75" customHeight="1" x14ac:dyDescent="0.2">
      <c r="B238" s="64"/>
      <c r="C238" s="65"/>
      <c r="D238" s="65"/>
      <c r="G238" s="59"/>
      <c r="H238" s="59"/>
    </row>
    <row r="239" spans="2:8" ht="15.75" customHeight="1" x14ac:dyDescent="0.2">
      <c r="B239" s="64"/>
      <c r="C239" s="64"/>
      <c r="D239" s="64"/>
      <c r="G239" s="59"/>
      <c r="H239" s="59"/>
    </row>
    <row r="240" spans="2:8" ht="15.75" customHeight="1" x14ac:dyDescent="0.2">
      <c r="B240" s="64"/>
      <c r="C240" s="65"/>
      <c r="D240" s="65"/>
      <c r="G240" s="59"/>
      <c r="H240" s="59"/>
    </row>
    <row r="241" spans="1:8" ht="15.75" customHeight="1" x14ac:dyDescent="0.2">
      <c r="B241" s="64"/>
      <c r="C241" s="65"/>
      <c r="D241" s="65"/>
    </row>
    <row r="242" spans="1:8" ht="15.75" customHeight="1" x14ac:dyDescent="0.2">
      <c r="B242" s="64"/>
      <c r="C242" s="64"/>
      <c r="D242" s="64"/>
    </row>
    <row r="243" spans="1:8" ht="15.75" customHeight="1" x14ac:dyDescent="0.2">
      <c r="B243" s="64"/>
      <c r="C243" s="65"/>
      <c r="D243" s="65"/>
    </row>
    <row r="244" spans="1:8" ht="15.75" customHeight="1" x14ac:dyDescent="0.2">
      <c r="B244" s="64"/>
      <c r="C244" s="65"/>
      <c r="D244" s="65"/>
    </row>
    <row r="245" spans="1:8" ht="15.75" customHeight="1" x14ac:dyDescent="0.2">
      <c r="C245" s="59"/>
      <c r="D245" s="59"/>
      <c r="G245" s="59"/>
      <c r="H245" s="59"/>
    </row>
    <row r="246" spans="1:8" ht="15.75" customHeight="1" x14ac:dyDescent="0.2">
      <c r="G246" s="59"/>
      <c r="H246" s="59"/>
    </row>
    <row r="247" spans="1:8" ht="15.75" customHeight="1" x14ac:dyDescent="0.2">
      <c r="B247" s="64"/>
      <c r="C247" s="65"/>
      <c r="D247" s="65"/>
      <c r="G247" s="59"/>
      <c r="H247" s="59"/>
    </row>
    <row r="248" spans="1:8" ht="15.75" customHeight="1" x14ac:dyDescent="0.2">
      <c r="B248" s="64"/>
      <c r="C248" s="65"/>
      <c r="D248" s="65"/>
    </row>
    <row r="249" spans="1:8" ht="15.75" customHeight="1" x14ac:dyDescent="0.2">
      <c r="B249" s="64"/>
      <c r="C249" s="65"/>
      <c r="D249" s="65"/>
    </row>
    <row r="250" spans="1:8" ht="15.75" customHeight="1" x14ac:dyDescent="0.2">
      <c r="A250" s="2"/>
      <c r="B250" s="64"/>
      <c r="C250" s="65"/>
      <c r="D250" s="65"/>
    </row>
    <row r="251" spans="1:8" ht="15.75" customHeight="1" x14ac:dyDescent="0.2">
      <c r="A251" s="3"/>
      <c r="B251" s="64"/>
      <c r="C251" s="65"/>
      <c r="D251" s="65"/>
    </row>
    <row r="252" spans="1:8" ht="15.75" customHeight="1" x14ac:dyDescent="0.2">
      <c r="A252" s="3"/>
      <c r="B252" s="64"/>
      <c r="C252" s="65"/>
      <c r="D252" s="65"/>
    </row>
    <row r="253" spans="1:8" ht="15.75" customHeight="1" x14ac:dyDescent="0.2">
      <c r="A253" s="3"/>
      <c r="B253" s="64"/>
      <c r="C253" s="65"/>
      <c r="D253" s="65"/>
    </row>
    <row r="254" spans="1:8" ht="15.75" customHeight="1" x14ac:dyDescent="0.2">
      <c r="A254" s="3"/>
      <c r="B254" s="64"/>
      <c r="C254" s="65"/>
      <c r="D254" s="65"/>
    </row>
    <row r="255" spans="1:8" ht="15.75" customHeight="1" x14ac:dyDescent="0.2">
      <c r="A255" s="3"/>
      <c r="B255" s="26"/>
      <c r="C255" s="26"/>
    </row>
    <row r="256" spans="1:8" ht="15.75" customHeight="1" x14ac:dyDescent="0.2">
      <c r="A256" s="3"/>
      <c r="B256" s="64"/>
      <c r="C256" s="64"/>
      <c r="D256" s="65"/>
    </row>
    <row r="257" spans="1:5" ht="15.75" customHeight="1" x14ac:dyDescent="0.2">
      <c r="A257" s="3"/>
      <c r="B257" s="64"/>
      <c r="C257" s="64"/>
      <c r="D257" s="64"/>
    </row>
    <row r="258" spans="1:5" ht="15.75" customHeight="1" x14ac:dyDescent="0.2">
      <c r="A258" s="3"/>
      <c r="B258" s="64"/>
      <c r="C258" s="64"/>
      <c r="D258" s="64"/>
    </row>
    <row r="259" spans="1:5" ht="15.75" customHeight="1" x14ac:dyDescent="0.2">
      <c r="A259" s="3"/>
      <c r="B259" s="26"/>
      <c r="C259" s="26"/>
    </row>
    <row r="260" spans="1:5" ht="15.75" customHeight="1" x14ac:dyDescent="0.2">
      <c r="A260" s="3"/>
      <c r="B260" s="26"/>
      <c r="C260" s="26"/>
    </row>
    <row r="261" spans="1:5" ht="15.75" customHeight="1" x14ac:dyDescent="0.2">
      <c r="A261" s="3"/>
      <c r="B261" s="26"/>
      <c r="C261" s="26"/>
    </row>
    <row r="262" spans="1:5" ht="15.75" customHeight="1" x14ac:dyDescent="0.2">
      <c r="A262" s="3"/>
      <c r="B262" s="26"/>
      <c r="C262" s="67"/>
      <c r="D262" s="67"/>
      <c r="E262" s="66"/>
    </row>
    <row r="263" spans="1:5" ht="15.75" customHeight="1" x14ac:dyDescent="0.2">
      <c r="A263" s="3"/>
      <c r="B263" s="26"/>
      <c r="C263" s="67"/>
      <c r="D263" s="67"/>
      <c r="E263" s="66"/>
    </row>
    <row r="264" spans="1:5" ht="15.75" customHeight="1" x14ac:dyDescent="0.2">
      <c r="A264" s="3"/>
      <c r="B264" s="26"/>
      <c r="C264" s="67"/>
      <c r="D264" s="67"/>
      <c r="E264" s="66"/>
    </row>
    <row r="265" spans="1:5" ht="15.75" customHeight="1" x14ac:dyDescent="0.2">
      <c r="A265" s="3"/>
      <c r="B265" s="3"/>
      <c r="C265" s="67"/>
      <c r="D265" s="67"/>
      <c r="E265" s="66"/>
    </row>
    <row r="266" spans="1:5" ht="15.75" customHeight="1" x14ac:dyDescent="0.2">
      <c r="A266" s="3"/>
      <c r="B266" s="26"/>
      <c r="C266" s="67"/>
      <c r="D266" s="67"/>
      <c r="E266" s="68"/>
    </row>
    <row r="267" spans="1:5" ht="15.75" customHeight="1" x14ac:dyDescent="0.2">
      <c r="A267" s="3"/>
      <c r="B267" s="26"/>
      <c r="C267" s="67"/>
      <c r="D267" s="67"/>
      <c r="E267" s="68"/>
    </row>
    <row r="268" spans="1:5" ht="15.75" customHeight="1" x14ac:dyDescent="0.2">
      <c r="A268" s="3"/>
      <c r="B268" s="26"/>
      <c r="C268" s="67"/>
      <c r="D268" s="67"/>
      <c r="E268" s="68"/>
    </row>
    <row r="269" spans="1:5" ht="15.75" customHeight="1" x14ac:dyDescent="0.2">
      <c r="A269" s="3"/>
      <c r="B269" s="3"/>
      <c r="C269" s="67"/>
      <c r="D269" s="67"/>
      <c r="E269" s="68"/>
    </row>
    <row r="270" spans="1:5" ht="15.75" customHeight="1" x14ac:dyDescent="0.2">
      <c r="A270" s="3"/>
      <c r="B270" s="26"/>
      <c r="C270" s="67"/>
      <c r="D270" s="67"/>
      <c r="E270" s="68"/>
    </row>
    <row r="271" spans="1:5" ht="15.75" customHeight="1" x14ac:dyDescent="0.2">
      <c r="A271" s="3"/>
      <c r="B271" s="26"/>
      <c r="C271" s="67"/>
      <c r="D271" s="67"/>
      <c r="E271" s="68"/>
    </row>
    <row r="272" spans="1:5" ht="15.75" customHeight="1" x14ac:dyDescent="0.2">
      <c r="A272" s="3"/>
      <c r="B272" s="26"/>
      <c r="C272" s="67"/>
      <c r="D272" s="67"/>
      <c r="E272" s="68"/>
    </row>
    <row r="273" spans="1:5" ht="15.75" customHeight="1" x14ac:dyDescent="0.2">
      <c r="A273" s="3"/>
      <c r="B273" s="26"/>
      <c r="C273" s="67"/>
      <c r="D273" s="67"/>
      <c r="E273" s="68"/>
    </row>
    <row r="274" spans="1:5" ht="15.75" customHeight="1" x14ac:dyDescent="0.2">
      <c r="A274" s="3"/>
      <c r="B274" s="26"/>
      <c r="C274" s="26"/>
    </row>
    <row r="275" spans="1:5" ht="15.75" customHeight="1" x14ac:dyDescent="0.2">
      <c r="A275" s="3"/>
      <c r="B275" s="26"/>
      <c r="C275" s="26"/>
    </row>
    <row r="276" spans="1:5" ht="15.75" customHeight="1" x14ac:dyDescent="0.2">
      <c r="A276" s="3"/>
      <c r="B276" s="26"/>
      <c r="C276" s="26"/>
    </row>
    <row r="277" spans="1:5" ht="15.75" customHeight="1" x14ac:dyDescent="0.2">
      <c r="A277" s="3"/>
      <c r="B277" s="26"/>
      <c r="C277" s="26"/>
    </row>
    <row r="278" spans="1:5" ht="15.75" customHeight="1" x14ac:dyDescent="0.2">
      <c r="A278" s="3"/>
      <c r="B278" s="26"/>
      <c r="C278" s="26"/>
    </row>
    <row r="279" spans="1:5" ht="15.75" customHeight="1" x14ac:dyDescent="0.2">
      <c r="A279" s="3"/>
      <c r="B279" s="26"/>
      <c r="C279" s="26"/>
    </row>
    <row r="280" spans="1:5" ht="15.75" customHeight="1" x14ac:dyDescent="0.2">
      <c r="A280" s="3"/>
      <c r="B280" s="26"/>
      <c r="C280" s="26"/>
    </row>
    <row r="281" spans="1:5" ht="15.75" customHeight="1" x14ac:dyDescent="0.2">
      <c r="A281" s="3"/>
      <c r="B281" s="26"/>
      <c r="C281" s="26"/>
      <c r="D281" s="59"/>
      <c r="E281" s="59"/>
    </row>
    <row r="282" spans="1:5" ht="15.75" customHeight="1" x14ac:dyDescent="0.2">
      <c r="A282" s="3"/>
      <c r="B282" s="26"/>
      <c r="C282" s="26"/>
      <c r="D282" s="59"/>
      <c r="E282" s="59"/>
    </row>
    <row r="283" spans="1:5" ht="15.75" customHeight="1" x14ac:dyDescent="0.2">
      <c r="A283" s="3"/>
      <c r="B283" s="26"/>
      <c r="C283" s="26"/>
      <c r="D283" s="59"/>
      <c r="E283" s="59"/>
    </row>
    <row r="284" spans="1:5" ht="15.75" customHeight="1" x14ac:dyDescent="0.2">
      <c r="A284" s="3"/>
      <c r="B284" s="26"/>
      <c r="C284" s="26"/>
      <c r="D284" s="59"/>
      <c r="E284" s="59"/>
    </row>
    <row r="285" spans="1:5" ht="15.75" customHeight="1" x14ac:dyDescent="0.2">
      <c r="A285" s="3"/>
      <c r="B285" s="26"/>
      <c r="C285" s="26"/>
      <c r="D285" s="59"/>
      <c r="E285" s="59"/>
    </row>
    <row r="286" spans="1:5" ht="15.75" customHeight="1" x14ac:dyDescent="0.2">
      <c r="D286" s="59"/>
      <c r="E286" s="59"/>
    </row>
    <row r="287" spans="1:5" ht="15.75" customHeight="1" x14ac:dyDescent="0.2">
      <c r="D287" s="59"/>
      <c r="E287" s="59"/>
    </row>
    <row r="288" spans="1:5" ht="15.75" customHeight="1" x14ac:dyDescent="0.2">
      <c r="D288" s="59"/>
      <c r="E288" s="59"/>
    </row>
    <row r="289" spans="3:5" ht="15.75" customHeight="1" x14ac:dyDescent="0.2"/>
    <row r="290" spans="3:5" ht="15.75" customHeight="1" x14ac:dyDescent="0.2"/>
    <row r="291" spans="3:5" ht="15.75" customHeight="1" x14ac:dyDescent="0.2"/>
    <row r="292" spans="3:5" ht="15.75" customHeight="1" x14ac:dyDescent="0.2"/>
    <row r="293" spans="3:5" ht="15.75" customHeight="1" x14ac:dyDescent="0.2"/>
    <row r="294" spans="3:5" ht="15.75" customHeight="1" x14ac:dyDescent="0.2"/>
    <row r="295" spans="3:5" ht="15.75" customHeight="1" x14ac:dyDescent="0.2"/>
    <row r="296" spans="3:5" ht="15.75" customHeight="1" x14ac:dyDescent="0.2">
      <c r="C296" s="58"/>
    </row>
    <row r="297" spans="3:5" ht="15.75" customHeight="1" x14ac:dyDescent="0.2">
      <c r="C297" s="69"/>
    </row>
    <row r="298" spans="3:5" ht="15.75" customHeight="1" x14ac:dyDescent="0.2"/>
    <row r="299" spans="3:5" ht="15.75" customHeight="1" x14ac:dyDescent="0.2"/>
    <row r="300" spans="3:5" ht="15.75" customHeight="1" x14ac:dyDescent="0.2"/>
    <row r="301" spans="3:5" ht="15.75" customHeight="1" x14ac:dyDescent="0.2">
      <c r="D301" s="59"/>
      <c r="E301" s="59"/>
    </row>
    <row r="302" spans="3:5" ht="15.75" customHeight="1" x14ac:dyDescent="0.2">
      <c r="D302" s="59"/>
      <c r="E302" s="59"/>
    </row>
    <row r="303" spans="3:5" ht="15.75" customHeight="1" x14ac:dyDescent="0.2">
      <c r="D303" s="59"/>
      <c r="E303" s="59"/>
    </row>
    <row r="304" spans="3:5" ht="15.75" customHeight="1" x14ac:dyDescent="0.2">
      <c r="D304" s="59"/>
      <c r="E304" s="59"/>
    </row>
    <row r="305" spans="4:5" ht="15.75" customHeight="1" x14ac:dyDescent="0.2">
      <c r="D305" s="59"/>
      <c r="E305" s="59"/>
    </row>
    <row r="306" spans="4:5" ht="15.75" customHeight="1" x14ac:dyDescent="0.2">
      <c r="D306" s="59"/>
      <c r="E306" s="59"/>
    </row>
    <row r="307" spans="4:5" ht="15.75" customHeight="1" x14ac:dyDescent="0.2">
      <c r="D307" s="59"/>
      <c r="E307" s="59"/>
    </row>
    <row r="308" spans="4:5" ht="15.75" customHeight="1" x14ac:dyDescent="0.2">
      <c r="D308" s="59"/>
      <c r="E308" s="59"/>
    </row>
    <row r="309" spans="4:5" ht="15.75" customHeight="1" x14ac:dyDescent="0.2"/>
    <row r="310" spans="4:5" ht="15.75" customHeight="1" x14ac:dyDescent="0.2"/>
    <row r="311" spans="4:5" ht="15.75" customHeight="1" x14ac:dyDescent="0.2"/>
    <row r="312" spans="4:5" ht="15.75" customHeight="1" x14ac:dyDescent="0.2"/>
    <row r="313" spans="4:5" ht="15.75" customHeight="1" x14ac:dyDescent="0.2"/>
    <row r="314" spans="4:5" ht="15.75" customHeight="1" x14ac:dyDescent="0.2"/>
    <row r="315" spans="4:5" ht="15.75" customHeight="1" x14ac:dyDescent="0.2"/>
    <row r="316" spans="4:5" ht="15.75" customHeight="1" x14ac:dyDescent="0.2"/>
    <row r="317" spans="4:5" ht="15.75" customHeight="1" x14ac:dyDescent="0.2"/>
    <row r="318" spans="4:5" ht="15.75" customHeight="1" x14ac:dyDescent="0.2"/>
    <row r="319" spans="4:5" ht="15.75" customHeight="1" x14ac:dyDescent="0.2"/>
    <row r="320" spans="4:5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</sheetData>
  <mergeCells count="4">
    <mergeCell ref="R11:S11"/>
    <mergeCell ref="D12:E12"/>
    <mergeCell ref="G12:H12"/>
    <mergeCell ref="K12:M12"/>
  </mergeCells>
  <phoneticPr fontId="12" type="noConversion"/>
  <pageMargins left="0.7" right="0.7" top="0.75" bottom="0.75" header="0" footer="0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"/>
  <sheetViews>
    <sheetView topLeftCell="A13" workbookViewId="0">
      <selection activeCell="E41" sqref="E41"/>
    </sheetView>
  </sheetViews>
  <sheetFormatPr baseColWidth="10" defaultColWidth="11.5" defaultRowHeight="15" x14ac:dyDescent="0.2"/>
  <cols>
    <col min="3" max="3" width="12" bestFit="1" customWidth="1"/>
  </cols>
  <sheetData>
    <row r="1" spans="1:5" x14ac:dyDescent="0.2">
      <c r="A1" s="74" t="s">
        <v>33</v>
      </c>
      <c r="B1" s="74"/>
      <c r="C1" s="74"/>
      <c r="D1" s="74"/>
      <c r="E1" s="74"/>
    </row>
    <row r="2" spans="1:5" x14ac:dyDescent="0.2">
      <c r="A2" s="74" t="s">
        <v>34</v>
      </c>
      <c r="B2" s="74" t="s">
        <v>35</v>
      </c>
      <c r="C2" s="74" t="s">
        <v>36</v>
      </c>
      <c r="D2" s="74" t="s">
        <v>37</v>
      </c>
      <c r="E2" s="74" t="s">
        <v>30</v>
      </c>
    </row>
    <row r="3" spans="1:5" x14ac:dyDescent="0.2">
      <c r="A3" s="70" t="s">
        <v>38</v>
      </c>
      <c r="B3" s="70" t="s">
        <v>39</v>
      </c>
      <c r="C3" s="73">
        <v>5.0000000000000001E-3</v>
      </c>
      <c r="D3" s="70" t="s">
        <v>40</v>
      </c>
      <c r="E3">
        <v>0.5</v>
      </c>
    </row>
    <row r="4" spans="1:5" x14ac:dyDescent="0.2">
      <c r="B4" s="70" t="s">
        <v>42</v>
      </c>
      <c r="C4" s="73">
        <v>5.0000000000000001E-3</v>
      </c>
      <c r="D4" s="70" t="s">
        <v>40</v>
      </c>
      <c r="E4">
        <v>0.45</v>
      </c>
    </row>
    <row r="5" spans="1:5" x14ac:dyDescent="0.2">
      <c r="B5" s="70" t="s">
        <v>39</v>
      </c>
      <c r="C5" s="73">
        <v>5.0000000000000001E-3</v>
      </c>
      <c r="D5" s="70" t="s">
        <v>43</v>
      </c>
      <c r="E5">
        <v>0.35</v>
      </c>
    </row>
    <row r="6" spans="1:5" x14ac:dyDescent="0.2">
      <c r="B6" s="70" t="s">
        <v>42</v>
      </c>
      <c r="C6" s="73">
        <v>5.0000000000000001E-3</v>
      </c>
      <c r="D6" s="70" t="s">
        <v>43</v>
      </c>
    </row>
    <row r="8" spans="1:5" x14ac:dyDescent="0.2">
      <c r="A8" s="70" t="s">
        <v>41</v>
      </c>
      <c r="B8" s="70" t="s">
        <v>39</v>
      </c>
      <c r="C8" s="73">
        <v>5.0000000000000001E-3</v>
      </c>
      <c r="D8" s="70" t="s">
        <v>40</v>
      </c>
      <c r="E8">
        <v>0.3</v>
      </c>
    </row>
    <row r="9" spans="1:5" x14ac:dyDescent="0.2">
      <c r="B9" s="70" t="s">
        <v>42</v>
      </c>
      <c r="C9" s="73">
        <v>5.0000000000000001E-3</v>
      </c>
      <c r="D9" s="70" t="s">
        <v>40</v>
      </c>
      <c r="E9">
        <v>0.3</v>
      </c>
    </row>
    <row r="17" spans="1:12" x14ac:dyDescent="0.2">
      <c r="B17" t="s">
        <v>49</v>
      </c>
    </row>
    <row r="18" spans="1:12" x14ac:dyDescent="0.2">
      <c r="B18" t="s">
        <v>50</v>
      </c>
      <c r="C18" t="s">
        <v>51</v>
      </c>
    </row>
    <row r="19" spans="1:12" x14ac:dyDescent="0.2">
      <c r="B19" t="s">
        <v>14</v>
      </c>
      <c r="C19" t="s">
        <v>14</v>
      </c>
      <c r="K19" t="s">
        <v>49</v>
      </c>
    </row>
    <row r="20" spans="1:12" x14ac:dyDescent="0.2">
      <c r="A20" t="s">
        <v>52</v>
      </c>
      <c r="B20" s="59">
        <v>39248</v>
      </c>
      <c r="C20" s="59">
        <v>45735</v>
      </c>
      <c r="F20" t="s">
        <v>49</v>
      </c>
      <c r="K20" t="s">
        <v>50</v>
      </c>
      <c r="L20" t="s">
        <v>51</v>
      </c>
    </row>
    <row r="21" spans="1:12" x14ac:dyDescent="0.2">
      <c r="A21" t="s">
        <v>53</v>
      </c>
      <c r="B21" s="59">
        <v>53292</v>
      </c>
      <c r="C21" s="59">
        <v>65914</v>
      </c>
      <c r="F21" t="s">
        <v>50</v>
      </c>
      <c r="G21" t="s">
        <v>51</v>
      </c>
      <c r="K21" t="s">
        <v>14</v>
      </c>
      <c r="L21" t="s">
        <v>14</v>
      </c>
    </row>
    <row r="22" spans="1:12" x14ac:dyDescent="0.2">
      <c r="A22" t="s">
        <v>54</v>
      </c>
      <c r="B22" s="59">
        <v>70264</v>
      </c>
      <c r="C22" s="59">
        <v>84619</v>
      </c>
      <c r="F22" t="s">
        <v>14</v>
      </c>
      <c r="G22" t="s">
        <v>14</v>
      </c>
      <c r="J22" t="s">
        <v>60</v>
      </c>
      <c r="K22" s="59">
        <v>10963</v>
      </c>
      <c r="L22" s="59">
        <v>13285</v>
      </c>
    </row>
    <row r="23" spans="1:12" x14ac:dyDescent="0.2">
      <c r="A23" t="s">
        <v>55</v>
      </c>
      <c r="B23" s="59">
        <v>73531</v>
      </c>
      <c r="C23" s="59">
        <v>89195</v>
      </c>
      <c r="E23" t="s">
        <v>56</v>
      </c>
      <c r="F23" s="59">
        <v>18348</v>
      </c>
      <c r="G23" s="59">
        <v>20999</v>
      </c>
      <c r="J23" t="s">
        <v>61</v>
      </c>
      <c r="K23" s="59">
        <v>15420</v>
      </c>
      <c r="L23" s="59">
        <v>16747</v>
      </c>
    </row>
    <row r="24" spans="1:12" x14ac:dyDescent="0.2">
      <c r="E24" t="s">
        <v>57</v>
      </c>
      <c r="F24" s="59">
        <v>38571</v>
      </c>
      <c r="G24" s="59">
        <v>44647</v>
      </c>
      <c r="J24" t="s">
        <v>62</v>
      </c>
      <c r="K24" s="59">
        <v>14624</v>
      </c>
      <c r="L24" s="59">
        <v>15958</v>
      </c>
    </row>
    <row r="25" spans="1:12" x14ac:dyDescent="0.2">
      <c r="E25" t="s">
        <v>58</v>
      </c>
      <c r="F25" s="59">
        <v>17566</v>
      </c>
      <c r="G25" s="59">
        <v>19749</v>
      </c>
      <c r="J25" t="s">
        <v>63</v>
      </c>
      <c r="K25" s="59">
        <v>12042</v>
      </c>
      <c r="L25" s="59">
        <v>14419</v>
      </c>
    </row>
    <row r="26" spans="1:12" x14ac:dyDescent="0.2">
      <c r="E26" t="s">
        <v>59</v>
      </c>
      <c r="F26" s="59">
        <v>39970</v>
      </c>
      <c r="G26" s="59">
        <v>47794</v>
      </c>
    </row>
    <row r="31" spans="1:12" x14ac:dyDescent="0.2">
      <c r="B31" t="s">
        <v>49</v>
      </c>
    </row>
    <row r="32" spans="1:12" x14ac:dyDescent="0.2">
      <c r="B32" t="s">
        <v>50</v>
      </c>
      <c r="C32" t="s">
        <v>51</v>
      </c>
    </row>
    <row r="33" spans="1:8" x14ac:dyDescent="0.2">
      <c r="B33" t="s">
        <v>14</v>
      </c>
      <c r="C33" t="s">
        <v>14</v>
      </c>
    </row>
    <row r="34" spans="1:8" x14ac:dyDescent="0.2">
      <c r="A34" t="s">
        <v>64</v>
      </c>
      <c r="B34" s="59">
        <v>3228</v>
      </c>
      <c r="C34" s="59">
        <v>3634</v>
      </c>
      <c r="G34" t="s">
        <v>49</v>
      </c>
    </row>
    <row r="35" spans="1:8" x14ac:dyDescent="0.2">
      <c r="A35" t="s">
        <v>65</v>
      </c>
      <c r="B35" s="59">
        <v>2116</v>
      </c>
      <c r="C35" s="59">
        <v>2356</v>
      </c>
      <c r="G35" t="s">
        <v>50</v>
      </c>
      <c r="H35" t="s">
        <v>51</v>
      </c>
    </row>
    <row r="36" spans="1:8" x14ac:dyDescent="0.2">
      <c r="A36" t="s">
        <v>66</v>
      </c>
      <c r="B36" s="59">
        <v>24038</v>
      </c>
      <c r="C36" s="59">
        <v>28474</v>
      </c>
      <c r="G36" t="s">
        <v>14</v>
      </c>
      <c r="H36" t="s">
        <v>14</v>
      </c>
    </row>
    <row r="37" spans="1:8" x14ac:dyDescent="0.2">
      <c r="A37" t="s">
        <v>67</v>
      </c>
      <c r="B37" s="59">
        <v>33167</v>
      </c>
      <c r="C37" s="59">
        <v>38665</v>
      </c>
    </row>
    <row r="38" spans="1:8" x14ac:dyDescent="0.2">
      <c r="F38" t="s">
        <v>69</v>
      </c>
      <c r="G38" s="59">
        <v>14246</v>
      </c>
      <c r="H38" s="59">
        <v>15690</v>
      </c>
    </row>
    <row r="39" spans="1:8" x14ac:dyDescent="0.2">
      <c r="F39" t="s">
        <v>71</v>
      </c>
      <c r="G39" s="59">
        <v>55604</v>
      </c>
      <c r="H39" s="59">
        <v>66475</v>
      </c>
    </row>
    <row r="40" spans="1:8" x14ac:dyDescent="0.2">
      <c r="F40" t="s">
        <v>70</v>
      </c>
      <c r="G40" s="59">
        <v>64035</v>
      </c>
      <c r="H40" s="59">
        <v>71081</v>
      </c>
    </row>
    <row r="41" spans="1:8" x14ac:dyDescent="0.2">
      <c r="F41" t="s">
        <v>68</v>
      </c>
      <c r="G41" s="59">
        <v>11700</v>
      </c>
      <c r="H41" s="59">
        <v>14118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Preculture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FlowCytometer</dc:creator>
  <cp:lastModifiedBy>Eduard Mrug</cp:lastModifiedBy>
  <dcterms:created xsi:type="dcterms:W3CDTF">2025-05-13T08:10:43Z</dcterms:created>
  <dcterms:modified xsi:type="dcterms:W3CDTF">2026-06-18T11:34:39Z</dcterms:modified>
</cp:coreProperties>
</file>